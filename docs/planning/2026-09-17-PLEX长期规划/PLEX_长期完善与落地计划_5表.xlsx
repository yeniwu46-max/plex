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D:\zhongruan\zhongruan\docs\planning\2026-09-17-PLEX长期规划\"/>
    </mc:Choice>
  </mc:AlternateContent>
  <xr:revisionPtr revIDLastSave="0" documentId="11_51F38E95E6C733A4609FD93083A3B89ED28718CC" xr6:coauthVersionLast="47" xr6:coauthVersionMax="47" xr10:uidLastSave="{00000000-0000-0000-0000-000000000000}"/>
  <bookViews>
    <workbookView xWindow="160" yWindow="1480" windowWidth="19200" windowHeight="11170" xr2:uid="{00000000-000D-0000-FFFF-FFFF00000000}"/>
  </bookViews>
  <sheets>
    <sheet name="01目标路线" sheetId="1" r:id="rId1"/>
    <sheet name="02教材软硬件" sheetId="2" r:id="rId2"/>
    <sheet name="03科研模型" sheetId="3" r:id="rId3"/>
    <sheet name="04商业公益" sheetId="4" r:id="rId4"/>
    <sheet name="05执行证据" sheetId="5" r:id="rId5"/>
  </sheets>
  <definedNames>
    <definedName name="_xlnm.Print_Area" localSheetId="0">'01目标路线'!$A$1:$H$40</definedName>
    <definedName name="_xlnm.Print_Area" localSheetId="1">'02教材软硬件'!$A$1:$G$33</definedName>
    <definedName name="_xlnm.Print_Area" localSheetId="2">'03科研模型'!$A$1:$G$25</definedName>
    <definedName name="_xlnm.Print_Area" localSheetId="3">'04商业公益'!$A$1:$H$64</definedName>
    <definedName name="_xlnm.Print_Area" localSheetId="4">'05执行证据'!$A$1:$J$37</definedName>
    <definedName name="_xlnm.Print_Titles" localSheetId="0">'01目标路线'!$1:$2</definedName>
    <definedName name="_xlnm.Print_Titles" localSheetId="1">'02教材软硬件'!$1:$2</definedName>
    <definedName name="_xlnm.Print_Titles" localSheetId="2">'03科研模型'!$1:$2</definedName>
    <definedName name="_xlnm.Print_Titles" localSheetId="3">'04商业公益'!$1:$2</definedName>
    <definedName name="_xlnm.Print_Titles" localSheetId="4">'05执行证据'!$1:$5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5" l="1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D57" i="4"/>
  <c r="C57" i="4"/>
  <c r="B57" i="4"/>
  <c r="D56" i="4"/>
  <c r="C56" i="4"/>
  <c r="B56" i="4"/>
  <c r="D55" i="4"/>
  <c r="C55" i="4"/>
  <c r="B55" i="4"/>
  <c r="D53" i="4"/>
  <c r="C53" i="4"/>
  <c r="B53" i="4"/>
  <c r="D51" i="4"/>
  <c r="C51" i="4"/>
  <c r="B51" i="4"/>
  <c r="D50" i="4"/>
  <c r="C50" i="4"/>
  <c r="B50" i="4"/>
  <c r="D49" i="4"/>
  <c r="C49" i="4"/>
  <c r="B49" i="4"/>
  <c r="D41" i="4"/>
  <c r="C41" i="4"/>
  <c r="B41" i="4"/>
  <c r="D40" i="4"/>
  <c r="C40" i="4"/>
  <c r="B40" i="4"/>
  <c r="D38" i="4"/>
  <c r="D39" i="4" s="1"/>
  <c r="D46" i="4" s="1"/>
  <c r="C38" i="4"/>
  <c r="C39" i="4" s="1"/>
  <c r="C46" i="4" s="1"/>
  <c r="B38" i="4"/>
  <c r="B39" i="4" s="1"/>
  <c r="B46" i="4" s="1"/>
  <c r="D33" i="4"/>
  <c r="C33" i="4"/>
  <c r="B33" i="4"/>
  <c r="B32" i="1"/>
  <c r="B31" i="1"/>
  <c r="B30" i="1"/>
  <c r="B29" i="1"/>
  <c r="B28" i="1"/>
  <c r="F4" i="1"/>
  <c r="H4" i="1" s="1"/>
  <c r="D4" i="1"/>
  <c r="D42" i="4" l="1"/>
  <c r="D60" i="4"/>
  <c r="C42" i="4"/>
  <c r="C60" i="4"/>
  <c r="B42" i="4"/>
  <c r="B45" i="4" s="1"/>
  <c r="B60" i="4"/>
  <c r="D43" i="4"/>
  <c r="D44" i="4"/>
  <c r="D45" i="4"/>
  <c r="C43" i="4"/>
  <c r="C44" i="4" s="1"/>
  <c r="C45" i="4"/>
  <c r="B43" i="4"/>
  <c r="B44" i="4" s="1"/>
  <c r="D47" i="4" l="1"/>
  <c r="D58" i="4"/>
  <c r="D59" i="4" s="1"/>
  <c r="C47" i="4"/>
  <c r="C58" i="4"/>
  <c r="C59" i="4" s="1"/>
  <c r="B47" i="4"/>
  <c r="B58" i="4"/>
  <c r="B59" i="4" s="1"/>
  <c r="D48" i="4" l="1"/>
  <c r="D52" i="4"/>
  <c r="C48" i="4"/>
  <c r="C52" i="4"/>
  <c r="B48" i="4"/>
  <c r="B52" i="4"/>
  <c r="D61" i="4" l="1"/>
  <c r="D54" i="4"/>
  <c r="C61" i="4"/>
  <c r="C54" i="4"/>
  <c r="B61" i="4"/>
  <c r="B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PLEX 规划依据</author>
  </authors>
  <commentList>
    <comment ref="B4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7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Source: 用户说明与确认，2026-09-17：公司、4班约150人测试、模型微调、1000元营收均已完成；本文件未审计原始凭证。</t>
        </r>
      </text>
    </comment>
    <comment ref="B8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Source: 用户说明与确认，2026-09-17：公司、4班约150人测试、模型微调、1000元营收均已完成；本文件未审计原始凭证。</t>
        </r>
      </text>
    </comment>
    <comment ref="B9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Source: 用户说明与确认，2026-09-17：公司、4班约150人测试、模型微调、1000元营收均已完成；本文件未审计原始凭证。</t>
        </r>
      </text>
    </comment>
    <comment ref="B10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Source: 用户说明与确认，2026-09-17：公司、4班约150人测试、模型微调、1000元营收均已完成；本文件未审计原始凭证。</t>
        </r>
      </text>
    </comment>
    <comment ref="B11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Source: 用户说明与确认，2026-09-17：公司、4班约150人测试、模型微调、1000元营收均已完成；本文件未审计原始凭证。</t>
        </r>
      </text>
    </comment>
    <comment ref="B12" authorId="0" shapeId="0" xr:uid="{00000000-0006-0000-0000-000007000000}">
      <text>
        <r>
          <rPr>
            <sz val="11"/>
            <color theme="1"/>
            <rFont val="宋体"/>
            <family val="2"/>
            <scheme val="minor"/>
          </rPr>
          <t>Source: 仓库课程知识库，读取于2026-09-17，D:\zhongruan\zhongruan/backend/data/rag_docs/python-basics/README.md；文档记载8模块、100知识点，不等于已完成教学质量验证。
Source: 硬件状态文档（截至2026-08-31），D:\zhongruan\zhongruan/hardware/plex-edge/STATUS.md；最新实物状态尚待项目组更新。</t>
        </r>
      </text>
    </comment>
    <comment ref="B13" authorId="0" shapeId="0" xr:uid="{00000000-0006-0000-0000-000008000000}">
      <text>
        <r>
          <rPr>
            <sz val="11"/>
            <color theme="1"/>
            <rFont val="宋体"/>
            <family val="2"/>
            <scheme val="minor"/>
          </rPr>
          <t>Source: 用户说明与确认，2026-09-17：公司、4班约150人测试、模型微调、1000元营收均已完成；本文件未审计原始凭证。</t>
        </r>
      </text>
    </comment>
    <comment ref="C17" authorId="0" shapeId="0" xr:uid="{00000000-0006-0000-0000-000009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8" authorId="0" shapeId="0" xr:uid="{00000000-0006-0000-0000-00000A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9" authorId="0" shapeId="0" xr:uid="{00000000-0006-0000-0000-00000B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0" authorId="0" shapeId="0" xr:uid="{00000000-0006-0000-0000-00000C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1" authorId="0" shapeId="0" xr:uid="{00000000-0006-0000-0000-00000D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2" authorId="0" shapeId="0" xr:uid="{00000000-0006-0000-0000-00000E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3" authorId="0" shapeId="0" xr:uid="{00000000-0006-0000-0000-00000F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4" authorId="0" shapeId="0" xr:uid="{00000000-0006-0000-0000-000010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37" authorId="0" shapeId="0" xr:uid="{00000000-0006-0000-0000-000011000000}">
      <text>
        <r>
          <rPr>
            <sz val="11"/>
            <color theme="1"/>
            <rFont val="宋体"/>
            <family val="2"/>
            <scheme val="minor"/>
          </rPr>
          <t>Source: Python官方教程，访问2026-09-17，https://docs.python.org/zh-cn/3/tutorial/ ，用于课程覆盖校对；教学顺序为本计划建议。</t>
        </r>
      </text>
    </comment>
    <comment ref="B38" authorId="0" shapeId="0" xr:uid="{00000000-0006-0000-0000-000012000000}">
      <text>
        <r>
          <rPr>
            <sz val="11"/>
            <color theme="1"/>
            <rFont val="宋体"/>
            <family val="2"/>
            <scheme val="minor"/>
          </rPr>
          <t>Source: Freeman et al., 2014, PNAS，https://doi.org/10.1073/pnas.1319030111 ，主动学习设计依据；不是PLEX效果的实测证据。</t>
        </r>
      </text>
    </comment>
    <comment ref="B39" authorId="0" shapeId="0" xr:uid="{00000000-0006-0000-0000-000013000000}">
      <text>
        <r>
          <rPr>
            <sz val="11"/>
            <color theme="1"/>
            <rFont val="宋体"/>
            <family val="2"/>
            <scheme val="minor"/>
          </rPr>
          <t>Source: What Works Clearinghouse Handbook v5.0，访问2026-09-17，https://ies.ed.gov/ncee/wwc/handbooks ，用于基线、流失与班级聚类的研究设计参考。</t>
        </r>
      </text>
    </comment>
    <comment ref="B40" authorId="0" shapeId="0" xr:uid="{00000000-0006-0000-0000-000014000000}">
      <text>
        <r>
          <rPr>
            <sz val="11"/>
            <color theme="1"/>
            <rFont val="宋体"/>
            <family val="2"/>
            <scheme val="minor"/>
          </rPr>
          <t>Source: Mitchell et al., Model Cards for Model Reporting，https://research.google/pubs/model-cards-for-model-reporting/ ，访问2026-09-17，用于模型用途、性能和局限记录。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PLEX 规划依据</author>
  </authors>
  <commentList>
    <comment ref="B6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Source: Python官方教程，访问2026-09-17，https://docs.python.org/zh-cn/3/tutorial/ ，用于课程覆盖校对；教学顺序为本计划建议。
Source: 仓库课程知识库，读取于2026-09-17，D:\zhongruan\zhongruan/backend/data/rag_docs/python-basics/README.md；文档记载8模块、100知识点，不等于已完成教学质量验证。
Source: 本计划建议，2026-09-17。目标、阈值、工期、角色和价格均为规划假设，不代表已有结果、真实报价或已签订单。</t>
        </r>
      </text>
    </comment>
    <comment ref="C18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
Source: Freeman et al., 2014, PNAS，https://doi.org/10.1073/pnas.1319030111 ，主动学习设计依据；不是PLEX效果的实测证据。</t>
        </r>
      </text>
    </comment>
    <comment ref="C19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Source: 仓库个性化实现说明（2026-06-08），D:\zhongruan\zhongruan/docs/2026-06-08-personalization-resource-implementation.md；只采纳流程描述，历史16知识点计数已被后续文档更新。
Source: 本计划建议，2026-09-17。目标、阈值、工期、角色和价格均为规划假设，不代表已有结果、真实报价或已签订单。</t>
        </r>
      </text>
    </comment>
    <comment ref="C20" authorId="0" shapeId="0" xr:uid="{00000000-0006-0000-0100-000004000000}">
      <text>
        <r>
          <rPr>
            <sz val="11"/>
            <color theme="1"/>
            <rFont val="宋体"/>
            <family val="2"/>
            <scheme val="minor"/>
          </rPr>
          <t>Source: 仓库个性化实现说明（2026-06-08），D:\zhongruan\zhongruan/docs/2026-06-08-personalization-resource-implementation.md；只采纳流程描述，历史16知识点计数已被后续文档更新。
Source: 本计划建议，2026-09-17。目标、阈值、工期、角色和价格均为规划假设，不代表已有结果、真实报价或已签订单。</t>
        </r>
      </text>
    </comment>
    <comment ref="C21" authorId="0" shapeId="0" xr:uid="{00000000-0006-0000-0100-000005000000}">
      <text>
        <r>
          <rPr>
            <sz val="11"/>
            <color theme="1"/>
            <rFont val="宋体"/>
            <family val="2"/>
            <scheme val="minor"/>
          </rPr>
          <t>Source: 仓库个性化实现说明（2026-06-08），D:\zhongruan\zhongruan/docs/2026-06-08-personalization-resource-implementation.md；只采纳流程描述，历史16知识点计数已被后续文档更新。
Source: 本计划建议，2026-09-17。目标、阈值、工期、角色和价格均为规划假设，不代表已有结果、真实报价或已签订单。</t>
        </r>
      </text>
    </comment>
    <comment ref="C22" authorId="0" shapeId="0" xr:uid="{00000000-0006-0000-0100-000006000000}">
      <text>
        <r>
          <rPr>
            <sz val="11"/>
            <color theme="1"/>
            <rFont val="宋体"/>
            <family val="2"/>
            <scheme val="minor"/>
          </rPr>
          <t>Source: 仓库个性化实现说明（2026-06-08），D:\zhongruan\zhongruan/docs/2026-06-08-personalization-resource-implementation.md；只采纳流程描述，历史16知识点计数已被后续文档更新。
Source: 本计划建议，2026-09-17。目标、阈值、工期、角色和价格均为规划假设，不代表已有结果、真实报价或已签订单。</t>
        </r>
      </text>
    </comment>
    <comment ref="C23" authorId="0" shapeId="0" xr:uid="{00000000-0006-0000-0100-000007000000}">
      <text>
        <r>
          <rPr>
            <sz val="11"/>
            <color theme="1"/>
            <rFont val="宋体"/>
            <family val="2"/>
            <scheme val="minor"/>
          </rPr>
          <t>Source: 仓库个性化实现说明（2026-06-08），D:\zhongruan\zhongruan/docs/2026-06-08-personalization-resource-implementation.md；只采纳流程描述，历史16知识点计数已被后续文档更新。
Source: 本计划建议，2026-09-17。目标、阈值、工期、角色和价格均为规划假设，不代表已有结果、真实报价或已签订单。</t>
        </r>
      </text>
    </comment>
    <comment ref="C24" authorId="0" shapeId="0" xr:uid="{00000000-0006-0000-0100-000008000000}">
      <text>
        <r>
          <rPr>
            <sz val="11"/>
            <color theme="1"/>
            <rFont val="宋体"/>
            <family val="2"/>
            <scheme val="minor"/>
          </rPr>
          <t>Source: 仓库个性化实现说明（2026-06-08），D:\zhongruan\zhongruan/docs/2026-06-08-personalization-resource-implementation.md；只采纳流程描述，历史16知识点计数已被后续文档更新。
Source: 本计划建议，2026-09-17。目标、阈值、工期、角色和价格均为规划假设，不代表已有结果、真实报价或已签订单。</t>
        </r>
      </text>
    </comment>
    <comment ref="C28" authorId="0" shapeId="0" xr:uid="{00000000-0006-0000-0100-000009000000}">
      <text>
        <r>
          <rPr>
            <sz val="11"/>
            <color theme="1"/>
            <rFont val="宋体"/>
            <family val="2"/>
            <scheme val="minor"/>
          </rPr>
          <t>Source: 硬件状态文档（截至2026-08-31），D:\zhongruan\zhongruan/hardware/plex-edge/STATUS.md；最新实物状态尚待项目组更新。</t>
        </r>
      </text>
    </comment>
    <comment ref="F30" authorId="0" shapeId="0" xr:uid="{00000000-0006-0000-0100-00000A000000}">
      <text>
        <r>
          <rPr>
            <sz val="11"/>
            <color theme="1"/>
            <rFont val="宋体"/>
            <family val="2"/>
            <scheme val="minor"/>
          </rPr>
          <t>Source: 内部BOM估算，D:\zhongruan\zhongruan/hardware/plex-edge/docs/BOM.csv，读取于2026-09-17，234元/套；非供应商报价，未含人工、开模、检测和税费。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PLEX 规划依据</author>
  </authors>
  <commentList>
    <comment ref="C8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Source: What Works Clearinghouse Handbook v5.0，访问2026-09-17，https://ies.ed.gov/ncee/wwc/handbooks ，用于基线、流失与班级聚类的研究设计参考。
Source: 本计划建议，2026-09-17。目标、阈值、工期、角色和价格均为规划假设，不代表已有结果、真实报价或已签订单。</t>
        </r>
      </text>
    </comment>
    <comment ref="C9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Source: What Works Clearinghouse Handbook v5.0，访问2026-09-17，https://ies.ed.gov/ncee/wwc/handbooks ，用于基线、流失与班级聚类的研究设计参考。
Source: 本计划建议，2026-09-17。目标、阈值、工期、角色和价格均为规划假设，不代表已有结果、真实报价或已签订单。</t>
        </r>
      </text>
    </comment>
    <comment ref="C10" authorId="0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Source: What Works Clearinghouse Handbook v5.0，访问2026-09-17，https://ies.ed.gov/ncee/wwc/handbooks ，用于基线、流失与班级聚类的研究设计参考。
Source: 本计划建议，2026-09-17。目标、阈值、工期、角色和价格均为规划假设，不代表已有结果、真实报价或已签订单。</t>
        </r>
      </text>
    </comment>
    <comment ref="C11" authorId="0" shapeId="0" xr:uid="{00000000-0006-0000-0200-000004000000}">
      <text>
        <r>
          <rPr>
            <sz val="11"/>
            <color theme="1"/>
            <rFont val="宋体"/>
            <family val="2"/>
            <scheme val="minor"/>
          </rPr>
          <t>Source: 个人信息保护法（官方全文），https://www.cac.gov.cn/2021-08/20/c_1631050028355286.htm ，访问2026-09-17，用于目的限定、最小必要与个人信息权益设计。
Source: 本计划建议，2026-09-17。目标、阈值、工期、角色和价格均为规划假设，不代表已有结果、真实报价或已签订单。</t>
        </r>
      </text>
    </comment>
    <comment ref="C12" authorId="0" shapeId="0" xr:uid="{00000000-0006-0000-0200-000005000000}">
      <text>
        <r>
          <rPr>
            <sz val="11"/>
            <color theme="1"/>
            <rFont val="宋体"/>
            <family val="2"/>
            <scheme val="minor"/>
          </rPr>
          <t>Source: What Works Clearinghouse Handbook v5.0，访问2026-09-17，https://ies.ed.gov/ncee/wwc/handbooks ，用于基线、流失与班级聚类的研究设计参考。
Source: 本计划建议，2026-09-17。目标、阈值、工期、角色和价格均为规划假设，不代表已有结果、真实报价或已签订单。</t>
        </r>
      </text>
    </comment>
    <comment ref="C17" authorId="0" shapeId="0" xr:uid="{00000000-0006-0000-0200-000006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8" authorId="0" shapeId="0" xr:uid="{00000000-0006-0000-0200-000007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9" authorId="0" shapeId="0" xr:uid="{00000000-0006-0000-0200-000008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0" authorId="0" shapeId="0" xr:uid="{00000000-0006-0000-0200-000009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1" authorId="0" shapeId="0" xr:uid="{00000000-0006-0000-0200-00000A000000}">
      <text>
        <r>
          <rPr>
            <sz val="11"/>
            <color theme="1"/>
            <rFont val="宋体"/>
            <family val="2"/>
            <scheme val="minor"/>
          </rPr>
          <t>Source: Mitchell et al., Model Cards for Model Reporting，https://research.google/pubs/model-cards-for-model-reporting/ ，访问2026-09-17，用于模型用途、性能和局限记录。
Source: 本计划建议，2026-09-17。目标、阈值、工期、角色和价格均为规划假设，不代表已有结果、真实报价或已签订单。</t>
        </r>
      </text>
    </comment>
    <comment ref="C22" authorId="0" shapeId="0" xr:uid="{00000000-0006-0000-0200-00000B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3" authorId="0" shapeId="0" xr:uid="{00000000-0006-0000-0200-00000C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PLEX 规划依据</author>
  </authors>
  <commentList>
    <comment ref="G6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Source: 市场监管总局《网络交易监督管理办法》2025年页面，https://www.samr.gov.cn/zw/zfxxgk/fdzdgknr/fgs/art/2025/art_4b47c79b8d994a42bba4835997688faa.html ，访问2026-09-17，用于收费披露与续费服务设计。
Source: 本计划建议，2026-09-17。目标、阈值、工期、角色和价格均为规划假设，不代表已有结果、真实报价或已签订单。</t>
        </r>
      </text>
    </comment>
    <comment ref="B13" authorId="0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3" authorId="0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13" authorId="0" shapeId="0" xr:uid="{00000000-0006-0000-0300-000004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14" authorId="0" shapeId="0" xr:uid="{00000000-0006-0000-0300-000005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4" authorId="0" shapeId="0" xr:uid="{00000000-0006-0000-0300-000006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14" authorId="0" shapeId="0" xr:uid="{00000000-0006-0000-0300-000007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15" authorId="0" shapeId="0" xr:uid="{00000000-0006-0000-0300-000008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5" authorId="0" shapeId="0" xr:uid="{00000000-0006-0000-0300-000009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15" authorId="0" shapeId="0" xr:uid="{00000000-0006-0000-0300-00000A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16" authorId="0" shapeId="0" xr:uid="{00000000-0006-0000-0300-00000B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6" authorId="0" shapeId="0" xr:uid="{00000000-0006-0000-0300-00000C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16" authorId="0" shapeId="0" xr:uid="{00000000-0006-0000-0300-00000D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17" authorId="0" shapeId="0" xr:uid="{00000000-0006-0000-0300-00000E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7" authorId="0" shapeId="0" xr:uid="{00000000-0006-0000-0300-00000F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17" authorId="0" shapeId="0" xr:uid="{00000000-0006-0000-0300-000010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18" authorId="0" shapeId="0" xr:uid="{00000000-0006-0000-0300-000011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8" authorId="0" shapeId="0" xr:uid="{00000000-0006-0000-0300-000012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18" authorId="0" shapeId="0" xr:uid="{00000000-0006-0000-0300-000013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19" authorId="0" shapeId="0" xr:uid="{00000000-0006-0000-0300-000014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19" authorId="0" shapeId="0" xr:uid="{00000000-0006-0000-0300-000015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19" authorId="0" shapeId="0" xr:uid="{00000000-0006-0000-0300-000016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20" authorId="0" shapeId="0" xr:uid="{00000000-0006-0000-0300-000017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0" authorId="0" shapeId="0" xr:uid="{00000000-0006-0000-0300-000018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20" authorId="0" shapeId="0" xr:uid="{00000000-0006-0000-0300-000019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21" authorId="0" shapeId="0" xr:uid="{00000000-0006-0000-0300-00001A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1" authorId="0" shapeId="0" xr:uid="{00000000-0006-0000-0300-00001B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21" authorId="0" shapeId="0" xr:uid="{00000000-0006-0000-0300-00001C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22" authorId="0" shapeId="0" xr:uid="{00000000-0006-0000-0300-00001D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2" authorId="0" shapeId="0" xr:uid="{00000000-0006-0000-0300-00001E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22" authorId="0" shapeId="0" xr:uid="{00000000-0006-0000-0300-00001F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23" authorId="0" shapeId="0" xr:uid="{00000000-0006-0000-0300-000020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3" authorId="0" shapeId="0" xr:uid="{00000000-0006-0000-0300-000021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23" authorId="0" shapeId="0" xr:uid="{00000000-0006-0000-0300-000022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24" authorId="0" shapeId="0" xr:uid="{00000000-0006-0000-0300-000023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4" authorId="0" shapeId="0" xr:uid="{00000000-0006-0000-0300-000024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24" authorId="0" shapeId="0" xr:uid="{00000000-0006-0000-0300-000025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25" authorId="0" shapeId="0" xr:uid="{00000000-0006-0000-0300-000026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5" authorId="0" shapeId="0" xr:uid="{00000000-0006-0000-0300-000027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25" authorId="0" shapeId="0" xr:uid="{00000000-0006-0000-0300-000028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26" authorId="0" shapeId="0" xr:uid="{00000000-0006-0000-0300-000029000000}">
      <text>
        <r>
          <rPr>
            <sz val="11"/>
            <color theme="1"/>
            <rFont val="宋体"/>
            <family val="2"/>
            <scheme val="minor"/>
          </rPr>
          <t>Source: 内部BOM估算，D:\zhongruan\zhongruan/hardware/plex-edge/docs/BOM.csv，读取于2026-09-17，234元/套；非供应商报价，未含人工、开模、检测和税费。</t>
        </r>
      </text>
    </comment>
    <comment ref="C26" authorId="0" shapeId="0" xr:uid="{00000000-0006-0000-0300-00002A000000}">
      <text>
        <r>
          <rPr>
            <sz val="11"/>
            <color theme="1"/>
            <rFont val="宋体"/>
            <family val="2"/>
            <scheme val="minor"/>
          </rPr>
          <t>Source: 内部BOM估算，D:\zhongruan\zhongruan/hardware/plex-edge/docs/BOM.csv，读取于2026-09-17，234元/套；非供应商报价，未含人工、开模、检测和税费。</t>
        </r>
      </text>
    </comment>
    <comment ref="D26" authorId="0" shapeId="0" xr:uid="{00000000-0006-0000-0300-00002B000000}">
      <text>
        <r>
          <rPr>
            <sz val="11"/>
            <color theme="1"/>
            <rFont val="宋体"/>
            <family val="2"/>
            <scheme val="minor"/>
          </rPr>
          <t>Source: 内部BOM估算，D:\zhongruan\zhongruan/hardware/plex-edge/docs/BOM.csv，读取于2026-09-17，234元/套；非供应商报价，未含人工、开模、检测和税费。</t>
        </r>
      </text>
    </comment>
    <comment ref="B27" authorId="0" shapeId="0" xr:uid="{00000000-0006-0000-0300-00002C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7" authorId="0" shapeId="0" xr:uid="{00000000-0006-0000-0300-00002D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27" authorId="0" shapeId="0" xr:uid="{00000000-0006-0000-0300-00002E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28" authorId="0" shapeId="0" xr:uid="{00000000-0006-0000-0300-00002F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8" authorId="0" shapeId="0" xr:uid="{00000000-0006-0000-0300-000030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28" authorId="0" shapeId="0" xr:uid="{00000000-0006-0000-0300-000031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29" authorId="0" shapeId="0" xr:uid="{00000000-0006-0000-0300-000032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29" authorId="0" shapeId="0" xr:uid="{00000000-0006-0000-0300-000033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29" authorId="0" shapeId="0" xr:uid="{00000000-0006-0000-0300-000034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30" authorId="0" shapeId="0" xr:uid="{00000000-0006-0000-0300-000035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30" authorId="0" shapeId="0" xr:uid="{00000000-0006-0000-0300-000036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30" authorId="0" shapeId="0" xr:uid="{00000000-0006-0000-0300-000037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31" authorId="0" shapeId="0" xr:uid="{00000000-0006-0000-0300-000038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31" authorId="0" shapeId="0" xr:uid="{00000000-0006-0000-0300-000039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31" authorId="0" shapeId="0" xr:uid="{00000000-0006-0000-0300-00003A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32" authorId="0" shapeId="0" xr:uid="{00000000-0006-0000-0300-00003B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32" authorId="0" shapeId="0" xr:uid="{00000000-0006-0000-0300-00003C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32" authorId="0" shapeId="0" xr:uid="{00000000-0006-0000-0300-00003D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B33" authorId="0" shapeId="0" xr:uid="{00000000-0006-0000-0300-00003E000000}">
      <text>
        <r>
          <rPr>
            <sz val="11"/>
            <color theme="1"/>
            <rFont val="宋体"/>
            <family val="2"/>
            <scheme val="minor"/>
          </rPr>
          <t>Source: 用户说明与确认，2026-09-17：公司、4班约150人测试、模型微调、1000元营收均已完成；本文件未审计原始凭证。</t>
        </r>
      </text>
    </comment>
    <comment ref="C33" authorId="0" shapeId="0" xr:uid="{00000000-0006-0000-0300-00003F000000}">
      <text>
        <r>
          <rPr>
            <sz val="11"/>
            <color theme="1"/>
            <rFont val="宋体"/>
            <family val="2"/>
            <scheme val="minor"/>
          </rPr>
          <t>Source: 用户说明与确认，2026-09-17：公司、4班约150人测试、模型微调、1000元营收均已完成；本文件未审计原始凭证。</t>
        </r>
      </text>
    </comment>
    <comment ref="D33" authorId="0" shapeId="0" xr:uid="{00000000-0006-0000-0300-000040000000}">
      <text>
        <r>
          <rPr>
            <sz val="11"/>
            <color theme="1"/>
            <rFont val="宋体"/>
            <family val="2"/>
            <scheme val="minor"/>
          </rPr>
          <t>Source: 用户说明与确认，2026-09-17：公司、4班约150人测试、模型微调、1000元营收均已完成；本文件未审计原始凭证。</t>
        </r>
      </text>
    </comment>
    <comment ref="B34" authorId="0" shapeId="0" xr:uid="{00000000-0006-0000-0300-000041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C34" authorId="0" shapeId="0" xr:uid="{00000000-0006-0000-0300-000042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D34" authorId="0" shapeId="0" xr:uid="{00000000-0006-0000-0300-000043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38" authorId="0" shapeId="0" xr:uid="{00000000-0006-0000-0300-000044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39" authorId="0" shapeId="0" xr:uid="{00000000-0006-0000-0300-000045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0" authorId="0" shapeId="0" xr:uid="{00000000-0006-0000-0300-000046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1" authorId="0" shapeId="0" xr:uid="{00000000-0006-0000-0300-000047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2" authorId="0" shapeId="0" xr:uid="{00000000-0006-0000-0300-000048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3" authorId="0" shapeId="0" xr:uid="{00000000-0006-0000-0300-000049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4" authorId="0" shapeId="0" xr:uid="{00000000-0006-0000-0300-00004A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5" authorId="0" shapeId="0" xr:uid="{00000000-0006-0000-0300-00004B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6" authorId="0" shapeId="0" xr:uid="{00000000-0006-0000-0300-00004C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7" authorId="0" shapeId="0" xr:uid="{00000000-0006-0000-0300-00004D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8" authorId="0" shapeId="0" xr:uid="{00000000-0006-0000-0300-00004E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49" authorId="0" shapeId="0" xr:uid="{00000000-0006-0000-0300-00004F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0" authorId="0" shapeId="0" xr:uid="{00000000-0006-0000-0300-000050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1" authorId="0" shapeId="0" xr:uid="{00000000-0006-0000-0300-000051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2" authorId="0" shapeId="0" xr:uid="{00000000-0006-0000-0300-000052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3" authorId="0" shapeId="0" xr:uid="{00000000-0006-0000-0300-000053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4" authorId="0" shapeId="0" xr:uid="{00000000-0006-0000-0300-000054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5" authorId="0" shapeId="0" xr:uid="{00000000-0006-0000-0300-000055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6" authorId="0" shapeId="0" xr:uid="{00000000-0006-0000-0300-000056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7" authorId="0" shapeId="0" xr:uid="{00000000-0006-0000-0300-000057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8" authorId="0" shapeId="0" xr:uid="{00000000-0006-0000-0300-000058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59" authorId="0" shapeId="0" xr:uid="{00000000-0006-0000-0300-000059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60" authorId="0" shapeId="0" xr:uid="{00000000-0006-0000-0300-00005A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61" authorId="0" shapeId="0" xr:uid="{00000000-0006-0000-0300-00005B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A63" authorId="0" shapeId="0" xr:uid="{00000000-0006-0000-0300-00005C000000}">
      <text>
        <r>
          <rPr>
            <sz val="11"/>
            <color theme="1"/>
            <rFont val="宋体"/>
            <family val="2"/>
            <scheme val="minor"/>
          </rPr>
          <t>Source: 市场监管总局《网络交易监督管理办法》2025年页面，https://www.samr.gov.cn/zw/zfxxgk/fdzdgknr/fgs/art/2025/art_4b47c79b8d994a42bba4835997688faa.html ，访问2026-09-17，用于收费披露与续费服务设计。
Source: 个人信息保护法（官方全文），https://www.cac.gov.cn/2021-08/20/c_1631050028355286.htm ，访问2026-09-17，用于目的限定、最小必要与个人信息权益设计。
Source: 本计划建议，2026-09-17。目标、阈值、工期、角色和价格均为规划假设，不代表已有结果、真实报价或已签订单。</t>
        </r>
      </text>
    </comment>
    <comment ref="A64" authorId="0" shapeId="0" xr:uid="{00000000-0006-0000-0300-00005D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PLEX 规划依据</author>
  </authors>
  <commentList>
    <comment ref="H6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7" authorId="0" shapeId="0" xr:uid="{00000000-0006-0000-0400-000002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8" authorId="0" shapeId="0" xr:uid="{00000000-0006-0000-0400-000003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9" authorId="0" shapeId="0" xr:uid="{00000000-0006-0000-0400-000004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0" authorId="0" shapeId="0" xr:uid="{00000000-0006-0000-0400-000005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1" authorId="0" shapeId="0" xr:uid="{00000000-0006-0000-0400-000006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2" authorId="0" shapeId="0" xr:uid="{00000000-0006-0000-0400-000007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3" authorId="0" shapeId="0" xr:uid="{00000000-0006-0000-0400-000008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4" authorId="0" shapeId="0" xr:uid="{00000000-0006-0000-0400-000009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5" authorId="0" shapeId="0" xr:uid="{00000000-0006-0000-0400-00000A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6" authorId="0" shapeId="0" xr:uid="{00000000-0006-0000-0400-00000B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7" authorId="0" shapeId="0" xr:uid="{00000000-0006-0000-0400-00000C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8" authorId="0" shapeId="0" xr:uid="{00000000-0006-0000-0400-00000D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19" authorId="0" shapeId="0" xr:uid="{00000000-0006-0000-0400-00000E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0" authorId="0" shapeId="0" xr:uid="{00000000-0006-0000-0400-00000F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1" authorId="0" shapeId="0" xr:uid="{00000000-0006-0000-0400-000010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2" authorId="0" shapeId="0" xr:uid="{00000000-0006-0000-0400-000011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3" authorId="0" shapeId="0" xr:uid="{00000000-0006-0000-0400-000012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4" authorId="0" shapeId="0" xr:uid="{00000000-0006-0000-0400-000013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5" authorId="0" shapeId="0" xr:uid="{00000000-0006-0000-0400-000014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6" authorId="0" shapeId="0" xr:uid="{00000000-0006-0000-0400-000015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7" authorId="0" shapeId="0" xr:uid="{00000000-0006-0000-0400-000016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8" authorId="0" shapeId="0" xr:uid="{00000000-0006-0000-0400-000017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29" authorId="0" shapeId="0" xr:uid="{00000000-0006-0000-0400-000018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30" authorId="0" shapeId="0" xr:uid="{00000000-0006-0000-0400-000019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31" authorId="0" shapeId="0" xr:uid="{00000000-0006-0000-0400-00001A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32" authorId="0" shapeId="0" xr:uid="{00000000-0006-0000-0400-00001B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33" authorId="0" shapeId="0" xr:uid="{00000000-0006-0000-0400-00001C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34" authorId="0" shapeId="0" xr:uid="{00000000-0006-0000-0400-00001D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35" authorId="0" shapeId="0" xr:uid="{00000000-0006-0000-0400-00001E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36" authorId="0" shapeId="0" xr:uid="{00000000-0006-0000-0400-00001F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  <comment ref="H37" authorId="0" shapeId="0" xr:uid="{00000000-0006-0000-0400-000020000000}">
      <text>
        <r>
          <rPr>
            <sz val="11"/>
            <color theme="1"/>
            <rFont val="宋体"/>
            <family val="2"/>
            <scheme val="minor"/>
          </rPr>
          <t>Source: 本计划建议，2026-09-17。目标、阈值、工期、角色和价格均为规划假设，不代表已有结果、真实报价或已签订单。</t>
        </r>
      </text>
    </comment>
  </commentList>
</comments>
</file>

<file path=xl/sharedStrings.xml><?xml version="1.0" encoding="utf-8"?>
<sst xmlns="http://schemas.openxmlformats.org/spreadsheetml/2006/main" count="977" uniqueCount="788">
  <si>
    <t>PLEX｜长期完善与落地计划</t>
  </si>
  <si>
    <t>总目标：把已有试用、微调和营收，沉淀为可教、可解释、可复核、可运营的 Python 数字教材产品。12个月执行，24个月条件式扩展。</t>
  </si>
  <si>
    <t>启动日</t>
  </si>
  <si>
    <t>12个月截止</t>
  </si>
  <si>
    <t>任务数</t>
  </si>
  <si>
    <t>任务完成率</t>
  </si>
  <si>
    <t>A｜当前基础：按用户最新确认；旧文档只用于定位已有设计</t>
  </si>
  <si>
    <t>项目</t>
  </si>
  <si>
    <t>当前值 / 状态</t>
  </si>
  <si>
    <t>口径</t>
  </si>
  <si>
    <t>下一步补齐</t>
  </si>
  <si>
    <t>主责角色</t>
  </si>
  <si>
    <t>时间</t>
  </si>
  <si>
    <t>依据</t>
  </si>
  <si>
    <t>判断边界</t>
  </si>
  <si>
    <t>真实测试班级</t>
  </si>
  <si>
    <t>已完成4个班测试</t>
  </si>
  <si>
    <t>班级、课程、时间与教师证明</t>
  </si>
  <si>
    <t>教研负责人</t>
  </si>
  <si>
    <t>M1</t>
  </si>
  <si>
    <t>用户2026-09-17确认</t>
  </si>
  <si>
    <t>不把4个班当150个独立实验单元</t>
  </si>
  <si>
    <t>真实测试学生</t>
  </si>
  <si>
    <t>约150人；待按匿名ID去重</t>
  </si>
  <si>
    <t>参与、有效前后测、退出人数分开列</t>
  </si>
  <si>
    <t>科研负责人</t>
  </si>
  <si>
    <t>不与人次、事件数混用</t>
  </si>
  <si>
    <t>已有营收（元）</t>
  </si>
  <si>
    <t>币种暂按人民币；收入已实现</t>
  </si>
  <si>
    <t>订单、收款、退款、履约与会计口径对账</t>
  </si>
  <si>
    <t>财务运营</t>
  </si>
  <si>
    <t>不是利润；待核实净退款口径</t>
  </si>
  <si>
    <t>公司主体</t>
  </si>
  <si>
    <t>已成立公司</t>
  </si>
  <si>
    <t>主体、合同、账户、知识产权归属</t>
  </si>
  <si>
    <t>项目负责人</t>
  </si>
  <si>
    <t>不安排重复注册公司</t>
  </si>
  <si>
    <t>模型微调</t>
  </si>
  <si>
    <t>已完成</t>
  </si>
  <si>
    <t>处理数据并完成训练微调</t>
  </si>
  <si>
    <t>数据版本、模型版本、基线与测试报告</t>
  </si>
  <si>
    <t>算法负责人</t>
  </si>
  <si>
    <t>M1—M3</t>
  </si>
  <si>
    <t>性能增益数值待补，不预设优于基座</t>
  </si>
  <si>
    <t>教学与硬件</t>
  </si>
  <si>
    <t>已有课程库 / 硬件方案</t>
  </si>
  <si>
    <t>仓库记载8模块100知识点；硬件为设计版</t>
  </si>
  <si>
    <t>核对教材质量与最新实物进展</t>
  </si>
  <si>
    <t>教研 / 硬件</t>
  </si>
  <si>
    <t>课程README / 硬件STATUS</t>
  </si>
  <si>
    <t>旧文档不是当前实物验收结论</t>
  </si>
  <si>
    <t>收费与公益</t>
  </si>
  <si>
    <t>已有营收 / 半价活动方向</t>
  </si>
  <si>
    <t>延续现有收费与学生优惠安排</t>
  </si>
  <si>
    <t>支付状态、半价规则、受益台账与成本</t>
  </si>
  <si>
    <t>运营负责人</t>
  </si>
  <si>
    <t>M1—M2</t>
  </si>
  <si>
    <t>用户原始描述</t>
  </si>
  <si>
    <t>活动的实际人数、次数和成本待补</t>
  </si>
  <si>
    <t>B｜12个月验收目标（建议值；以质量与可复制为先）</t>
  </si>
  <si>
    <t>维度</t>
  </si>
  <si>
    <t>关键成果</t>
  </si>
  <si>
    <t>交付与数量</t>
  </si>
  <si>
    <t>验收口径</t>
  </si>
  <si>
    <t>完成点</t>
  </si>
  <si>
    <t>任务关联</t>
  </si>
  <si>
    <t>未达标时的动作</t>
  </si>
  <si>
    <t>教育教学</t>
  </si>
  <si>
    <t>Python教材V1→V2</t>
  </si>
  <si>
    <t>8单元 / 建议32课时；2个综合项目</t>
  </si>
  <si>
    <t>目标—活动—评价全映射；100知识点双人审稿</t>
  </si>
  <si>
    <t>M3 / M9</t>
  </si>
  <si>
    <t>T02—T04、T30</t>
  </si>
  <si>
    <t>删减未审内容，优先可完整授课</t>
  </si>
  <si>
    <t>个性化科学性</t>
  </si>
  <si>
    <t>证据驱动的生成闭环</t>
  </si>
  <si>
    <t>诊断→检索→生成→审核→学习→更新</t>
  </si>
  <si>
    <t>抽样100条资源；依据可追溯100%，教师合格率≥90%</t>
  </si>
  <si>
    <t>M3</t>
  </si>
  <si>
    <t>产品 / 算法</t>
  </si>
  <si>
    <t>T05—T06</t>
  </si>
  <si>
    <t>降低自动发布范围，回退到审定资源</t>
  </si>
  <si>
    <t>科研可信度</t>
  </si>
  <si>
    <t>可复核的研究结论</t>
  </si>
  <si>
    <t>现有试验回顾1份；新队列验证1轮；报告1份</t>
  </si>
  <si>
    <t>预先确定主指标；效应量+95%区间+缺失/局限</t>
  </si>
  <si>
    <t>M7—M8</t>
  </si>
  <si>
    <t>T07—T13</t>
  </si>
  <si>
    <t>如实报告无效/负向结果，不承诺显著</t>
  </si>
  <si>
    <t>模型技术</t>
  </si>
  <si>
    <t>可复现且受控的模型版本</t>
  </si>
  <si>
    <t>已有微调复现；固定独立测试集1套</t>
  </si>
  <si>
    <t>同条件比较基座、RAG、RAG+微调；质量成本一起看</t>
  </si>
  <si>
    <t>M3—M6</t>
  </si>
  <si>
    <t>T08—T09、T11</t>
  </si>
  <si>
    <t>无稳定收益则沿用更便宜的基线</t>
  </si>
  <si>
    <t>软硬件结合</t>
  </si>
  <si>
    <t>课堂闭环与教学数据实验</t>
  </si>
  <si>
    <t>1套可用样机→最多10套共享终端</t>
  </si>
  <si>
    <t>72小时连续运行；事件成功率≥99%；比较软硬件增益</t>
  </si>
  <si>
    <t>硬件 / 后端</t>
  </si>
  <si>
    <t>T14—T18</t>
  </si>
  <si>
    <t>无教学或交互收益则保留软件方案</t>
  </si>
  <si>
    <t>可落地交付</t>
  </si>
  <si>
    <t>教师可独立使用</t>
  </si>
  <si>
    <t>新环境部署包、教师手册与恢复演练各1套</t>
  </si>
  <si>
    <t>连续4周可用率≥99%；教师独立完成1轮课堂</t>
  </si>
  <si>
    <t>M3—M5</t>
  </si>
  <si>
    <t>工程负责人</t>
  </si>
  <si>
    <t>T19—T20、T29</t>
  </si>
  <si>
    <t>先修阻断项，再招新班</t>
  </si>
  <si>
    <t>商业持续性</t>
  </si>
  <si>
    <t>从首笔验证到可重复付费</t>
  </si>
  <si>
    <t>12个月累计净收款暂定≥1万元；2个机构付费单</t>
  </si>
  <si>
    <t>先统一历史1000元口径；连续3个月经营贡献为正</t>
  </si>
  <si>
    <t>M9—M12</t>
  </si>
  <si>
    <t>财务 / 运营</t>
  </si>
  <si>
    <t>T21—T24、T27、T31</t>
  </si>
  <si>
    <t>按表04调整价格与成本；不等同净利润</t>
  </si>
  <si>
    <t>规模与公益</t>
  </si>
  <si>
    <t>受益可量化、扩展可控制</t>
  </si>
  <si>
    <t>累计≥8班 / ≥300名去重学生；新增≥40半价+20免费名额</t>
  </si>
  <si>
    <t>新增付费与测试分别统计；免费/半价受益不重复计数</t>
  </si>
  <si>
    <t>M12</t>
  </si>
  <si>
    <t>教研 / 运营</t>
  </si>
  <si>
    <t>T25—T28</t>
  </si>
  <si>
    <t>先核算补贴承受力，再扩大活动</t>
  </si>
  <si>
    <t>C｜阶段关口：任何规模扩展都以前一阶段验收为条件</t>
  </si>
  <si>
    <t>阶段</t>
  </si>
  <si>
    <t>建议窗口</t>
  </si>
  <si>
    <t>必须做成</t>
  </si>
  <si>
    <t>放行条件</t>
  </si>
  <si>
    <t>不做什么</t>
  </si>
  <si>
    <t>负责人</t>
  </si>
  <si>
    <t>对应任务</t>
  </si>
  <si>
    <t>课程交付定位</t>
  </si>
  <si>
    <t>G1 基线固化</t>
  </si>
  <si>
    <t>归档已有成果；明确课程、数据与收费口径</t>
  </si>
  <si>
    <t>4类已有成果各有负责人和证据入口</t>
  </si>
  <si>
    <t>不重复开展已完成事项</t>
  </si>
  <si>
    <t>T01、T07、T14、T20、T22</t>
  </si>
  <si>
    <t>先形成可信项目说明</t>
  </si>
  <si>
    <t>G2 可教学交付</t>
  </si>
  <si>
    <t>教材V1、生成链、模型卡、样机与收费审计</t>
  </si>
  <si>
    <t>一节完整课可演示；核心流程无阻断</t>
  </si>
  <si>
    <t>不以界面截图替代课堂闭环</t>
  </si>
  <si>
    <t>教研 / 工程</t>
  </si>
  <si>
    <t>T02—T06、T08—T09、T15—T16、T19、T21、T23、T25、T30</t>
  </si>
  <si>
    <t>课程答辩最小完整包；DDL变化只调整此关口</t>
  </si>
  <si>
    <t>G3 实证与运营</t>
  </si>
  <si>
    <t>新队列验证、硬件试点、真实付费与公益台账</t>
  </si>
  <si>
    <t>完成预定干预及数据冻结；订单可逐笔对账</t>
  </si>
  <si>
    <t>不把四班结果外推至所有学生</t>
  </si>
  <si>
    <t>科研 / 运营</t>
  </si>
  <si>
    <t>T10—T11、T17—T18、T24、T26、T29</t>
  </si>
  <si>
    <t>补充真实课堂案例</t>
  </si>
  <si>
    <t>G4 复制与复盘</t>
  </si>
  <si>
    <t>报告、第二机构订单、教材V2与年度复盘</t>
  </si>
  <si>
    <t>累计8班300人；正经营贡献；证据包可复核</t>
  </si>
  <si>
    <t>不以亏损补贴长期换人数</t>
  </si>
  <si>
    <t>T12—T13、T27—T28、T31—T32</t>
  </si>
  <si>
    <t>可复制的课程产品</t>
  </si>
  <si>
    <t>24个月方向</t>
  </si>
  <si>
    <t>复制到第2门课程；再评估更多学校或硬件量产</t>
  </si>
  <si>
    <t>主课程复购与服务成本稳定后另立预算</t>
  </si>
  <si>
    <t>不预先承诺融资、论文录用或规模营收</t>
  </si>
  <si>
    <t>T32</t>
  </si>
  <si>
    <t>复用已验证的教材与数据流程</t>
  </si>
  <si>
    <t>D｜阅读依据：点击来源；具体指标的口径与来源另附于单元格批注</t>
  </si>
  <si>
    <t>用户确认</t>
  </si>
  <si>
    <t>已完成基础</t>
  </si>
  <si>
    <t>公司 / 4班约150人 / 微调 / 1000元</t>
  </si>
  <si>
    <t>确认日：2026-09-17</t>
  </si>
  <si>
    <t>本表7—13行</t>
  </si>
  <si>
    <t>规划≠实绩</t>
  </si>
  <si>
    <t>角色待绑定实名</t>
  </si>
  <si>
    <t>项目组补齐原始凭证</t>
  </si>
  <si>
    <t>项目材料</t>
  </si>
  <si>
    <t>课程与硬件</t>
  </si>
  <si>
    <t>课程README、个性化实现、硬件STATUS</t>
  </si>
  <si>
    <t>见单元格批注的本地路径</t>
  </si>
  <si>
    <t>读取日：2026-09-17</t>
  </si>
  <si>
    <t>以最新实绩更新</t>
  </si>
  <si>
    <t>旧文档不覆盖新确认</t>
  </si>
  <si>
    <t>8模块100知识点按仓库记载</t>
  </si>
  <si>
    <t>课程依据</t>
  </si>
  <si>
    <t>Python官方教程</t>
  </si>
  <si>
    <t>覆盖校对；本表不照搬教程顺序</t>
  </si>
  <si>
    <t>https://docs.python.org/zh-cn/3/tutorial/</t>
  </si>
  <si>
    <t>官方文档</t>
  </si>
  <si>
    <t>用于教材设计</t>
  </si>
  <si>
    <t>详见表02</t>
  </si>
  <si>
    <t>不作为教学效果证明</t>
  </si>
  <si>
    <t>教学依据</t>
  </si>
  <si>
    <t>Freeman et al. 2014</t>
  </si>
  <si>
    <t>主动练习与即时反馈的设计参考</t>
  </si>
  <si>
    <t>https://doi.org/10.1073/pnas.1319030111</t>
  </si>
  <si>
    <t>PNAS研究</t>
  </si>
  <si>
    <t>用于教学活动</t>
  </si>
  <si>
    <t>PLEX效果另行实测</t>
  </si>
  <si>
    <t>研究依据</t>
  </si>
  <si>
    <t>WWC Handbook v5.0</t>
  </si>
  <si>
    <t>基线、流失、班级聚类与研究解释</t>
  </si>
  <si>
    <t>https://ies.ed.gov/ncee/wwc/handbooks</t>
  </si>
  <si>
    <t>官方研究规范</t>
  </si>
  <si>
    <t>用于研究方案</t>
  </si>
  <si>
    <t>详见表03</t>
  </si>
  <si>
    <t>阈值为本计划建议，非WWC认证</t>
  </si>
  <si>
    <t>模型依据</t>
  </si>
  <si>
    <t>Model Cards</t>
  </si>
  <si>
    <t>模型用途、评测条件与局限记录</t>
  </si>
  <si>
    <t>https://research.google/pubs/model-cards-for-model-reporting/</t>
  </si>
  <si>
    <t>研究原文</t>
  </si>
  <si>
    <t>用于模型卡</t>
  </si>
  <si>
    <t>不等于模型性能已获认证</t>
  </si>
  <si>
    <t>PLEX｜教材、个性化与软硬件</t>
  </si>
  <si>
    <t>课程范围：零基础大学生 Python 入门；建议8单元×4课时。课时与顺序待任课教师确认，现有100知识点先做映射与质量审核。</t>
  </si>
  <si>
    <t>A｜8个教材单元：每单元都有可交付作品，而不是只有知识目录</t>
  </si>
  <si>
    <t>单元</t>
  </si>
  <si>
    <t>教学主题</t>
  </si>
  <si>
    <t>学生可完成的任务</t>
  </si>
  <si>
    <t>数字教材交付</t>
  </si>
  <si>
    <t>平台中的学习活动</t>
  </si>
  <si>
    <t>硬件 / 数据连接</t>
  </si>
  <si>
    <t>学习评价</t>
  </si>
  <si>
    <t>U1</t>
  </si>
  <si>
    <t>环境、程序与调试</t>
  </si>
  <si>
    <t>独立运行脚本，解释报错并修复缩进</t>
  </si>
  <si>
    <t>环境指南、示范视频、调试工作纸</t>
  </si>
  <si>
    <t>前测→短示例→代码修改→出口题</t>
  </si>
  <si>
    <t>先用终端事件样例，不要求有设备</t>
  </si>
  <si>
    <t>提交可运行脚本+修错说明</t>
  </si>
  <si>
    <t>U2</t>
  </si>
  <si>
    <t>变量、类型与输入输出</t>
  </si>
  <si>
    <t>完成类型转换、表达式与输入校验</t>
  </si>
  <si>
    <t>概念卡、正反例、分层练习</t>
  </si>
  <si>
    <t>按类型混淆错误推送补练</t>
  </si>
  <si>
    <t>读取模拟按键数、倒计时数值</t>
  </si>
  <si>
    <t>输入边界用例通过；解释转换原因</t>
  </si>
  <si>
    <t>U3</t>
  </si>
  <si>
    <t>条件与布尔逻辑</t>
  </si>
  <si>
    <t>编写理解度状态判断规则</t>
  </si>
  <si>
    <t>流程图、分支追踪、错误诊断</t>
  </si>
  <si>
    <t>预测输出→运行→解释差异</t>
  </si>
  <si>
    <t>按“求助/完成/未响应”生成反馈</t>
  </si>
  <si>
    <t>正确处理多条件、边界与异常值</t>
  </si>
  <si>
    <t>U4</t>
  </si>
  <si>
    <t>循环与基础算法</t>
  </si>
  <si>
    <t>汇总课堂事件，完成计数与搜索</t>
  </si>
  <si>
    <t>循环可视化、追踪表、算法实验</t>
  </si>
  <si>
    <t>补齐循环不变量直觉与终止条件</t>
  </si>
  <si>
    <t>统计终端事件，不访问真实身份</t>
  </si>
  <si>
    <t>测试零条、多条、边界数据</t>
  </si>
  <si>
    <t>U5</t>
  </si>
  <si>
    <t>字符串与文本处理</t>
  </si>
  <si>
    <t>清洗题目文本、解析简单事件行</t>
  </si>
  <si>
    <t>切片案例、字符串实验、纠错卡</t>
  </si>
  <si>
    <t>同知识点三档任务，逐步撤除提示</t>
  </si>
  <si>
    <t>处理设备匿名事件文本</t>
  </si>
  <si>
    <t>不丢有效字段；能说明清洗规则</t>
  </si>
  <si>
    <t>U6</t>
  </si>
  <si>
    <t>列表、字典与数据组织</t>
  </si>
  <si>
    <t>用列表/字典组织记录并去重汇总</t>
  </si>
  <si>
    <t>数据结构图、练习集、项目模板</t>
  </si>
  <si>
    <t>比较两种实现并解释选型</t>
  </si>
  <si>
    <t>按匿名会话ID汇总求助事件</t>
  </si>
  <si>
    <t>结果正确，能处理重复与缺失</t>
  </si>
  <si>
    <t>U7</t>
  </si>
  <si>
    <t>函数、模块与测试</t>
  </si>
  <si>
    <t>把重复逻辑封装为可复用函数</t>
  </si>
  <si>
    <t>函数契约、模块示例、测试清单</t>
  </si>
  <si>
    <t>先补全函数，再独立设计接口</t>
  </si>
  <si>
    <t>Python脚本调用测试API或读CSV</t>
  </si>
  <si>
    <t>函数职责清晰；正常/异常用例通过</t>
  </si>
  <si>
    <t>U8</t>
  </si>
  <si>
    <t>文件、异常与综合实践</t>
  </si>
  <si>
    <t>完成学习数据报告与课堂求助助手</t>
  </si>
  <si>
    <t>2个项目说明、评分量规、反思模板</t>
  </si>
  <si>
    <t>项目制：计划→编码→测试→互评</t>
  </si>
  <si>
    <t>用真实脱敏事件与模拟事件分别验证</t>
  </si>
  <si>
    <t>独立迁移任务；代码、报告和反思齐全</t>
  </si>
  <si>
    <t>统一单元结构：学习目标→诊断→讲解与正反例→动手练习→形成性评价→错因反馈→迁移任务；评分建议：正确性50%、解释20%、调试20%、反思10%。</t>
  </si>
  <si>
    <t>B｜个性化生成依据：让每一次推荐都能回答“为什么给这个学生这份资源”</t>
  </si>
  <si>
    <t>链路</t>
  </si>
  <si>
    <t>依据 / 输入</t>
  </si>
  <si>
    <t>决策规则</t>
  </si>
  <si>
    <t>产出与留痕</t>
  </si>
  <si>
    <t>质量验收（建议）</t>
  </si>
  <si>
    <t>教师 / 学生控制</t>
  </si>
  <si>
    <t>P1 诊断</t>
  </si>
  <si>
    <t>前测、近期答题、用时、错因、学习目标</t>
  </si>
  <si>
    <t>以掌握度和先修缺口为主；偏好仅调呈现</t>
  </si>
  <si>
    <t>匿名ID、知识点、事件时间、画像版本</t>
  </si>
  <si>
    <t>缺数据时标注低置信度并追加短测</t>
  </si>
  <si>
    <t>学生可纠正画像；不固定贴“学习风格”标签</t>
  </si>
  <si>
    <t>T02、T05</t>
  </si>
  <si>
    <t>P2 定位</t>
  </si>
  <si>
    <t>先修图谱、薄弱点、复习到期与课时</t>
  </si>
  <si>
    <t>先补前置，再定可完成的小目标</t>
  </si>
  <si>
    <t>目标知识点、先修路径、难度与时长</t>
  </si>
  <si>
    <t>抽样100条均可回溯到学习证据</t>
  </si>
  <si>
    <t>教师可覆盖难度和任务目标</t>
  </si>
  <si>
    <t>T05、T06</t>
  </si>
  <si>
    <t>P3 检索</t>
  </si>
  <si>
    <t>审定教材、题库、代码例题与来源版本</t>
  </si>
  <si>
    <t>限定课程范围，优先检索可引用证据</t>
  </si>
  <si>
    <t>document_id、文档版本、片段与检索分数</t>
  </si>
  <si>
    <t>独立检索集覆盖8单元；记录Recall@k</t>
  </si>
  <si>
    <t>证据不足改用审定模板或转教师</t>
  </si>
  <si>
    <t>T04—T06</t>
  </si>
  <si>
    <t>P4 生成</t>
  </si>
  <si>
    <t>目标、画像快照、检索片段、约束</t>
  </si>
  <si>
    <t>生成讲解、思维图、练习、拓展阅读或实验</t>
  </si>
  <si>
    <t>资源ID、模型/提示词版本、参数、推荐理由</t>
  </si>
  <si>
    <t>差异应体现在难度、支架和练习；不是只换称呼</t>
  </si>
  <si>
    <t>保留标准教材入口；提供逐级提示</t>
  </si>
  <si>
    <t>T05、T09</t>
  </si>
  <si>
    <t>P5 审核</t>
  </si>
  <si>
    <t>生成资源、引用、答案与运行结果</t>
  </si>
  <si>
    <t>检查事实、先修适配、答案与代码安全</t>
  </si>
  <si>
    <t>自动检查、审核人、通过/退回与原因</t>
  </si>
  <si>
    <t>抽样100条教师合格率≥90%；关键代码全部可运行</t>
  </si>
  <si>
    <t>低置信度和高风险内容必须教师复核</t>
  </si>
  <si>
    <t>T04、T06、T19</t>
  </si>
  <si>
    <t>P6 使用</t>
  </si>
  <si>
    <t>已批准资源与当前教学节奏</t>
  </si>
  <si>
    <t>分块呈现、先作答再反馈、错后提示</t>
  </si>
  <si>
    <t>展示→接受→学习→作答的完整事件链</t>
  </si>
  <si>
    <t>推荐接受率与学习完成率分别统计</t>
  </si>
  <si>
    <t>学生可跳过；核心教材可低带宽访问</t>
  </si>
  <si>
    <t>T05、T29</t>
  </si>
  <si>
    <t>P7 更新</t>
  </si>
  <si>
    <t>退出题、迁移题、复习结果与教师反馈</t>
  </si>
  <si>
    <t>更新掌握度、安排间隔复习，再生成下一步</t>
  </si>
  <si>
    <t>同一trace_id关联画像—资源—评价—新画像</t>
  </si>
  <si>
    <t>评价不重复原题；不将点击或灯色等同掌握</t>
  </si>
  <si>
    <t>确认后的目标不被单次行为静默覆盖</t>
  </si>
  <si>
    <t>T05、T11、T12</t>
  </si>
  <si>
    <t>C｜软硬件与交付：共享课堂终端 + Python数据实践</t>
  </si>
  <si>
    <t>工作包</t>
  </si>
  <si>
    <t>场景 / 范围</t>
  </si>
  <si>
    <t>具体实现</t>
  </si>
  <si>
    <t>学生与教师收益</t>
  </si>
  <si>
    <t>验收 / 放行条件</t>
  </si>
  <si>
    <t>成本与限制</t>
  </si>
  <si>
    <t>H1</t>
  </si>
  <si>
    <t>实物与必要性核查</t>
  </si>
  <si>
    <t>盘点现有样机、固件和设备API；比较网页按钮</t>
  </si>
  <si>
    <t>明确终端能解决的课堂问题</t>
  </si>
  <si>
    <t>M1形成最新状态表、照片与差异清单</t>
  </si>
  <si>
    <t>旧STATUS为设计版；若已有实物则直接补验收</t>
  </si>
  <si>
    <t>T14</t>
  </si>
  <si>
    <t>H2</t>
  </si>
  <si>
    <t>1套端云闭环</t>
  </si>
  <si>
    <t>ESP32-S3+屏幕+4按键；匿名会话→事件API→看板</t>
  </si>
  <si>
    <t>任务提醒、理解反馈、求助与教师响应</t>
  </si>
  <si>
    <t>真实设备演示；事件不重计；断网可恢复</t>
  </si>
  <si>
    <t>固件可为C++；Python课通过CSV/API学习，不强行烧录</t>
  </si>
  <si>
    <t>T15</t>
  </si>
  <si>
    <t>H3</t>
  </si>
  <si>
    <t>可靠性与小批量</t>
  </si>
  <si>
    <t>72小时运行；断网、令牌失效、重复上报测试</t>
  </si>
  <si>
    <t>减少课堂中断并保护学习记录</t>
  </si>
  <si>
    <t>事件送达率≥99%；先10人易用性，再最多10套</t>
  </si>
  <si>
    <t>234元/套仅旧BOM估算，另计外壳、维护、检测</t>
  </si>
  <si>
    <t>T16—T17</t>
  </si>
  <si>
    <t>H4</t>
  </si>
  <si>
    <t>教学增益验证</t>
  </si>
  <si>
    <t>相同内容下比较软件入口与硬件入口</t>
  </si>
  <si>
    <t>检验求助响应、注意干扰与参与成本</t>
  </si>
  <si>
    <t>记录求助响应中位数、任务完成率与教师操作时长</t>
  </si>
  <si>
    <t>硬件独立评价；不要把综合干预效果全归因硬件</t>
  </si>
  <si>
    <t>T18</t>
  </si>
  <si>
    <t>D1</t>
  </si>
  <si>
    <t>教师可独立上课</t>
  </si>
  <si>
    <t>课前诊断→发布→课堂干预→课后复习→导出</t>
  </si>
  <si>
    <t>把平台纳入一节完整课与一门完整课</t>
  </si>
  <si>
    <t>1名未参与开发教师按手册独立完成1轮</t>
  </si>
  <si>
    <t>教师端保留审核和覆盖权；培训用时计入成本</t>
  </si>
  <si>
    <t>T29—T30</t>
  </si>
  <si>
    <t>D2</t>
  </si>
  <si>
    <t>教材维护与可访问</t>
  </si>
  <si>
    <t>作者、来源、许可、勘误、版本；字幕与文本替代</t>
  </si>
  <si>
    <t>可持续更新，设备不足仍可完成学习</t>
  </si>
  <si>
    <t>每单元有来源与变更记录；键盘可用、低带宽可读</t>
  </si>
  <si>
    <t>AI生成内容经过审核再发布；禁用无授权素材</t>
  </si>
  <si>
    <t>T03—T04、T29</t>
  </si>
  <si>
    <t>PLEX｜科研与模型证据闭环</t>
  </si>
  <si>
    <t>已有基础：4班约150人测试、数据处理与模型微调已完成。下一步是复核、复现、解释和独立验证；不预设显著提升或论文录用。</t>
  </si>
  <si>
    <t>A｜研究设计与数据：先分清“已有发现”与“下一轮要验证的假设”</t>
  </si>
  <si>
    <t>编号</t>
  </si>
  <si>
    <t>要解决的问题</t>
  </si>
  <si>
    <t>具体做法</t>
  </si>
  <si>
    <t>口径 / 成功条件</t>
  </si>
  <si>
    <t>必须保留的证据</t>
  </si>
  <si>
    <t>结论边界</t>
  </si>
  <si>
    <t>R01</t>
  </si>
  <si>
    <t>已有150人的实绩复盘</t>
  </si>
  <si>
    <t>还原4班测试时间、版本、干预方式和对照条件</t>
  </si>
  <si>
    <t>约150人先去重；分别报告参与/有效配对/退出人数</t>
  </si>
  <si>
    <t>匿名名单、原始导出、教师证明、测验版本</t>
  </si>
  <si>
    <t>已完成研究可回顾登记；不得补写为事前预注册</t>
  </si>
  <si>
    <t>T01、T07</t>
  </si>
  <si>
    <t>R02</t>
  </si>
  <si>
    <t>明确教育研究问题</t>
  </si>
  <si>
    <t>主问题：个性化资源是否改善Python迁移能力；次问题：是否节省教师时间</t>
  </si>
  <si>
    <t>主指标只设1项；新一轮可设6周干预+2周延迟测</t>
  </si>
  <si>
    <t>分析方案、课程目标、评分量规、时间表</t>
  </si>
  <si>
    <t>时长为建议；先对齐学期，不承诺正向效果</t>
  </si>
  <si>
    <t>T10</t>
  </si>
  <si>
    <t>R03</t>
  </si>
  <si>
    <t>选择可信对照</t>
  </si>
  <si>
    <t>同内容/时长/教师支持比较常规资源与个性化资源；条件允许再随机分配</t>
  </si>
  <si>
    <t>记录分配层级、基线成绩与教师差异</t>
  </si>
  <si>
    <t>分组日志、实际分配过程、执行偏差</t>
  </si>
  <si>
    <t>只有4班时为探索性；不把150人当150个独立班级</t>
  </si>
  <si>
    <t>T10—T11</t>
  </si>
  <si>
    <t>R04</t>
  </si>
  <si>
    <t>决定样本与新增队列</t>
  </si>
  <si>
    <t>用既有方差、班内相关和最小有意义差异做功效或精度分析</t>
  </si>
  <si>
    <t>300人是运营累计目标；科研样本由设计决定</t>
  </si>
  <si>
    <t>样本量脚本、假设、目标班数和流失预留</t>
  </si>
  <si>
    <t>必要时增加班数；只增每班人数不解决聚类不足</t>
  </si>
  <si>
    <t>T10、T28</t>
  </si>
  <si>
    <t>R05</t>
  </si>
  <si>
    <t>保持评价独立</t>
  </si>
  <si>
    <t>前/后/延迟测用等值题；迁移题不进训练或提示词</t>
  </si>
  <si>
    <t>盲评双人抽评至少20%；报告评分一致性</t>
  </si>
  <si>
    <t>题卷、量规、评分记录、评分分歧处理</t>
  </si>
  <si>
    <t>训练内题成绩只能表示练习表现</t>
  </si>
  <si>
    <t>T02、T10—T11</t>
  </si>
  <si>
    <t>R06</t>
  </si>
  <si>
    <t>数据清洗与授权</t>
  </si>
  <si>
    <t>建匿名ID/班级/版本/资源/结果字典；去重、缺失、异常处理可重跑</t>
  </si>
  <si>
    <t>教学使用、研究与训练用途分别告知和记录授权依据</t>
  </si>
  <si>
    <t>数据字典、清洗脚本、排除日志、用途与保留期记录</t>
  </si>
  <si>
    <t>脱敏不等于匿名化；不上传可识别学生信息给外部模型</t>
  </si>
  <si>
    <t>T07、T20</t>
  </si>
  <si>
    <t>R07</t>
  </si>
  <si>
    <t>报告可复核统计</t>
  </si>
  <si>
    <t>估计基线调整后的组间差异、效应量与95%区间；适配班级分配层级</t>
  </si>
  <si>
    <t>报告主指标、退出/缺失和敏感性分析；副指标注明探索性</t>
  </si>
  <si>
    <t>冻结数据哈希、分析代码、图表与完整报告</t>
  </si>
  <si>
    <t>班级少时区间不稳，强调探索性，不强作因果结论</t>
  </si>
  <si>
    <t>T12—T13</t>
  </si>
  <si>
    <t>R08</t>
  </si>
  <si>
    <t>控制解释范围</t>
  </si>
  <si>
    <t>分别检验学习结果、教师负担、用户体验和硬件价值</t>
  </si>
  <si>
    <t>现有结论逐条关联对应表格或图；无效结果也保留</t>
  </si>
  <si>
    <t>结论—证据映射、反例、版本适用范围</t>
  </si>
  <si>
    <t>满意度/点击率不替代学习增益；整体效果不等于某Agent功劳</t>
  </si>
  <si>
    <t>T12—T13、T18</t>
  </si>
  <si>
    <t>B｜微调完善：用更干净的数据和同条件评测，证明哪些改动值得保留</t>
  </si>
  <si>
    <t>工作环节</t>
  </si>
  <si>
    <t>口径 / 放行条件</t>
  </si>
  <si>
    <t>失效时怎么处理</t>
  </si>
  <si>
    <t>M01</t>
  </si>
  <si>
    <t>已有微调可复现</t>
  </si>
  <si>
    <t>登记基座与许可、微调方法、参数量、超参、随机种子和训练环境</t>
  </si>
  <si>
    <t>用同一数据版本复跑；记录差异与算力费用</t>
  </si>
  <si>
    <t>训练配置、日志、数据哈希、权重/适配器、代码提交</t>
  </si>
  <si>
    <t>缺哪项补哪项，不把调用API表述为自研基座</t>
  </si>
  <si>
    <t>T09</t>
  </si>
  <si>
    <t>M02</t>
  </si>
  <si>
    <t>防止测试泄漏</t>
  </si>
  <si>
    <t>核查现有150人数据是否参与训练或调参；按学生/时间/题目近重复隔离</t>
  </si>
  <si>
    <t>训练/验证/测试名单冻结；用过的数据不再冒充独立测试</t>
  </si>
  <si>
    <t>去重报告、分组清单、污染检查与新队列测试集</t>
  </si>
  <si>
    <t>如现有测试已泄漏，重建新学期或新班级测试集</t>
  </si>
  <si>
    <t>T08、T10</t>
  </si>
  <si>
    <t>M03</t>
  </si>
  <si>
    <t>同条件消融比较</t>
  </si>
  <si>
    <t>A基座；B基座+RAG；C微调+相同RAG；再按需比较画像/多Agent</t>
  </si>
  <si>
    <t>固定题集、生成参数和预算；至少200条覆盖8单元的独立任务</t>
  </si>
  <si>
    <t>模型输出、盲评量规、成本、耗时、失败样本</t>
  </si>
  <si>
    <t>先确认RAG与简单流程价值，再判断微调/多Agent增量</t>
  </si>
  <si>
    <t>T06、T09</t>
  </si>
  <si>
    <t>M04</t>
  </si>
  <si>
    <t>评测教育质量与安全</t>
  </si>
  <si>
    <t>评准确性、引用支持、难度适配、提示质量、代码通过率和泄漏风险</t>
  </si>
  <si>
    <t>建议盲评合格率≥90%；重大事实/隐私错误0；报告样本分母</t>
  </si>
  <si>
    <t>双人复核至少20%；保留分歧、置信区间与失败类别</t>
  </si>
  <si>
    <t>未过门槛的版本不替换线上模型；严重错误先修复</t>
  </si>
  <si>
    <t>T06、T09、T19</t>
  </si>
  <si>
    <t>M05</t>
  </si>
  <si>
    <t>模型上线与回滚</t>
  </si>
  <si>
    <t>模型卡、版本注册、少量灰度、成本告警、教师接管</t>
  </si>
  <si>
    <t>预先冻结主质量指标的最小有意义改进；成本在预算内</t>
  </si>
  <si>
    <t>版本对照、每任务费用、延迟分位数、回滚演练</t>
  </si>
  <si>
    <t>未见可靠增益则保留基线；微调成果可作为负结果报告</t>
  </si>
  <si>
    <t>T09、T19</t>
  </si>
  <si>
    <t>M06</t>
  </si>
  <si>
    <t>数据飞轮可控更新</t>
  </si>
  <si>
    <t>仅用授权且教师复核的困难样本追加训练；每轮保留旧版基准</t>
  </si>
  <si>
    <t>训练集增长有质量记录；独立测试不反复调参消耗</t>
  </si>
  <si>
    <t>样本来源、筛选规则、删除请求记录、版本变更</t>
  </si>
  <si>
    <t>漂移或关键分组性能恶化时暂停更新</t>
  </si>
  <si>
    <t>T08—T09、T20</t>
  </si>
  <si>
    <t>M07</t>
  </si>
  <si>
    <t>科研与产品成果交付</t>
  </si>
  <si>
    <t>1份研究报告/论文初稿；1张模型卡；1套可复现代码与脱敏样例</t>
  </si>
  <si>
    <t>指导教师复核；结果、局限、数据可用性声明齐全</t>
  </si>
  <si>
    <t>报告、模型卡、统计脚本、审阅记录</t>
  </si>
  <si>
    <t>课程结题不以论文录用、专利授权或正结果为前提</t>
  </si>
  <si>
    <t>T13、T30</t>
  </si>
  <si>
    <t>核心口径：150名学生 ≠ 150条训练样本 ≠ 150次使用；课程效果 ≠ 模型离线得分；微调完成 ≠ 微调有效。每项结论同时注明对象、版本、时间、分母和证据。</t>
  </si>
  <si>
    <t>PLEX｜商业模式与公益测算</t>
  </si>
  <si>
    <t>已有营收1000元为用户确认；下方未来12个月全部为情景假设，非实际价格或订单。蓝字黄底可改；公式自动联动。金额均为人民币。</t>
  </si>
  <si>
    <t>A｜商业闭环：已有公司做规范化经营，先服务好一门课程</t>
  </si>
  <si>
    <t>产品 / 付费方</t>
  </si>
  <si>
    <t>交付与收费</t>
  </si>
  <si>
    <t>获客与复购</t>
  </si>
  <si>
    <t>履约与边界</t>
  </si>
  <si>
    <t>学生课程包</t>
  </si>
  <si>
    <t>一学期教材+分层练习+限额辅导；基础教材有免费入口</t>
  </si>
  <si>
    <t>教师转介、公开体验课→激活→付费→完成→续购</t>
  </si>
  <si>
    <t>明确期限、额度与退款规则；不付费不影响实验参与及成绩</t>
  </si>
  <si>
    <t>机构班级包</t>
  </si>
  <si>
    <t>学校/培训方支付：班级空间、教师看板、资源与服务</t>
  </si>
  <si>
    <t>现有4班案例→教师演示→机构试用→合同→复购</t>
  </si>
  <si>
    <t>按机构包核算席位；同一服务不再向覆盖学生重复收费</t>
  </si>
  <si>
    <t>硬件服务</t>
  </si>
  <si>
    <t>先借用/租用共享终端；采购另立报价和交付条件</t>
  </si>
  <si>
    <t>以减少求助等待或课堂操作负担证明价值</t>
  </si>
  <si>
    <t>硬件销售收入不纳入本模型；未验收不计付费产品</t>
  </si>
  <si>
    <t>学生半价 / 助学</t>
  </si>
  <si>
    <t>核验学生资格后课程包5折；另设免费助学名额</t>
  </si>
  <si>
    <t>公开规则、名额、期限和受益人数；教师协助触达</t>
  </si>
  <si>
    <t>与研究授权分离；价格让利≠现金捐赠；免费名额不计营收</t>
  </si>
  <si>
    <t>B｜未来12个月投入与销量假设：三种情景均可编辑，不混入历史收入</t>
  </si>
  <si>
    <t>参数</t>
  </si>
  <si>
    <t>保守</t>
  </si>
  <si>
    <t>基准</t>
  </si>
  <si>
    <t>进取</t>
  </si>
  <si>
    <t>单位</t>
  </si>
  <si>
    <t>口径 / 来源</t>
  </si>
  <si>
    <t>测算周期</t>
  </si>
  <si>
    <t>月</t>
  </si>
  <si>
    <t>未来12个月；不把全年销量再乘12</t>
  </si>
  <si>
    <t>学生课程包原价</t>
  </si>
  <si>
    <t>元/人期</t>
  </si>
  <si>
    <t>规划试价；先做访谈与小额真实付费验证</t>
  </si>
  <si>
    <t>学生半价折扣</t>
  </si>
  <si>
    <t>比例</t>
  </si>
  <si>
    <t>按同一服务公示原价5折；不虚构划线价</t>
  </si>
  <si>
    <t>全价课程包销量</t>
  </si>
  <si>
    <t>人期</t>
  </si>
  <si>
    <t>与半价销量互斥；销量不等于独立付费人数</t>
  </si>
  <si>
    <t>半价课程包销量</t>
  </si>
  <si>
    <t>真实付费人期；期内按单去重</t>
  </si>
  <si>
    <t>机构包销量</t>
  </si>
  <si>
    <t>单</t>
  </si>
  <si>
    <t>均为未来新增已履约场景假设</t>
  </si>
  <si>
    <t>机构包单价</t>
  </si>
  <si>
    <t>元/单</t>
  </si>
  <si>
    <t>独立合同定价假设；尚非签约金额</t>
  </si>
  <si>
    <t>每机构包服务席位</t>
  </si>
  <si>
    <t>人期/单</t>
  </si>
  <si>
    <t>机构覆盖者不重复计算为个人付费销量</t>
  </si>
  <si>
    <t>预计退款比例</t>
  </si>
  <si>
    <t>基于收费总额估计；实际改用订单退款记录</t>
  </si>
  <si>
    <t>支付手续费率</t>
  </si>
  <si>
    <t>示例费率，待合同替换；按退款前收款计费</t>
  </si>
  <si>
    <t>直接服务变动成本</t>
  </si>
  <si>
    <t>含AI调用/可变运维与履约；所有席位和免费名额均计</t>
  </si>
  <si>
    <t>月固定现金成本</t>
  </si>
  <si>
    <t>元/月</t>
  </si>
  <si>
    <t>云资源、基础工具与固定服务费用；团队薪酬见等价工时</t>
  </si>
  <si>
    <t>新增硬件数量</t>
  </si>
  <si>
    <t>套</t>
  </si>
  <si>
    <t>先验收1套，再扩至最多10套；存量不重复采购</t>
  </si>
  <si>
    <t>单套BOM估算</t>
  </si>
  <si>
    <t>元/套</t>
  </si>
  <si>
    <t>仓库旧BOM估算；非采购报价，不含人工/开模/检测/税费</t>
  </si>
  <si>
    <t>硬件追加费用</t>
  </si>
  <si>
    <t>元</t>
  </si>
  <si>
    <t>外壳、维护、检测等规划预留；需采购前更新</t>
  </si>
  <si>
    <t>新增训练与评测预算</t>
  </si>
  <si>
    <t>未来新增支出；已完成微调历史成本另行归档</t>
  </si>
  <si>
    <t>活动与获客现金预算</t>
  </si>
  <si>
    <t>宣传、活动、差旅等；不重复计价格让利</t>
  </si>
  <si>
    <t>免费助学名额</t>
  </si>
  <si>
    <t>与全价/半价/机构服务不重叠；仍发生服务成本</t>
  </si>
  <si>
    <t>未付费团队与志愿工时</t>
  </si>
  <si>
    <t>小时</t>
  </si>
  <si>
    <t>含开发、教研、运营与活动；如有工资应调整避免重复</t>
  </si>
  <si>
    <t>工时机会成本单价</t>
  </si>
  <si>
    <t>元/小时</t>
  </si>
  <si>
    <t>仅作完整成本估算，非实际工资或现金支付</t>
  </si>
  <si>
    <t>历史已实现营收</t>
  </si>
  <si>
    <t>用户确认1000元；与净收款合计前须统一退款口径</t>
  </si>
  <si>
    <t>累计净收款规划目标</t>
  </si>
  <si>
    <t>本计划建议；用于看差额，不是收入预测保证</t>
  </si>
  <si>
    <t>C｜自动测算：基准情景若亏损，先优化成本和客单价，不用规模掩盖问题</t>
  </si>
  <si>
    <t>指标</t>
  </si>
  <si>
    <t>计算口径</t>
  </si>
  <si>
    <t>个人付费销量</t>
  </si>
  <si>
    <t>全价+半价；独立付费人数须另按用户去重</t>
  </si>
  <si>
    <t>全部服务量</t>
  </si>
  <si>
    <t>个人+机构席位+免费；三类互斥假设</t>
  </si>
  <si>
    <t>个人课程包收款</t>
  </si>
  <si>
    <t>优惠按实际成交价计入</t>
  </si>
  <si>
    <t>机构包收款</t>
  </si>
  <si>
    <t>机构包销量×单价</t>
  </si>
  <si>
    <t>新增收费总额</t>
  </si>
  <si>
    <t>仅未来新增，不含历史1000元</t>
  </si>
  <si>
    <t>预计退款</t>
  </si>
  <si>
    <t>交易总额×退款率</t>
  </si>
  <si>
    <t>新增净收款</t>
  </si>
  <si>
    <t>收款减退款；非会计确认营收</t>
  </si>
  <si>
    <t>支付手续费</t>
  </si>
  <si>
    <t>按总收款计费的保守假设</t>
  </si>
  <si>
    <t>变动履约成本</t>
  </si>
  <si>
    <t>包含免费名额成本；退款后服务成本保守保留</t>
  </si>
  <si>
    <t>经营贡献</t>
  </si>
  <si>
    <t>净收款减支付费和直接履约成本</t>
  </si>
  <si>
    <t>经营贡献率</t>
  </si>
  <si>
    <t>净收款为0时显示—</t>
  </si>
  <si>
    <t>固定现金支出</t>
  </si>
  <si>
    <t>12个月固定成本</t>
  </si>
  <si>
    <t>硬件现金投入</t>
  </si>
  <si>
    <t>新增数量×BOM+追加费用；现金口径一次列入</t>
  </si>
  <si>
    <t>训练及获客支出</t>
  </si>
  <si>
    <t>只计未来新增预算</t>
  </si>
  <si>
    <t>预计现金结余</t>
  </si>
  <si>
    <t>不含历史现金；未计税费，非净利润</t>
  </si>
  <si>
    <t>团队工时等价成本</t>
  </si>
  <si>
    <t>无薪工作也有成本；已付薪时调整避免重复</t>
  </si>
  <si>
    <t>含工时成本结余</t>
  </si>
  <si>
    <t>体现学生团队投入；不是会计利润</t>
  </si>
  <si>
    <t>半价让利金额</t>
  </si>
  <si>
    <t>相对公示原价的优惠；不是额外现金支出</t>
  </si>
  <si>
    <t>免费名额标价价值</t>
  </si>
  <si>
    <t>对外需注明标价口径；不是现金捐赠</t>
  </si>
  <si>
    <t>助学直接履约成本</t>
  </si>
  <si>
    <t>半价+免费人期的服务成本；已含在变动成本中</t>
  </si>
  <si>
    <t>累计口径对齐后金额</t>
  </si>
  <si>
    <t>仅在历史1000元也为净收款时可比较</t>
  </si>
  <si>
    <t>距累计目标差额</t>
  </si>
  <si>
    <t>不足部分；达到目标显示—</t>
  </si>
  <si>
    <t>个人单人期边际贡献</t>
  </si>
  <si>
    <t>保持原全价/半价结构；扣退款、手续费和变动成本</t>
  </si>
  <si>
    <t>现金保本还需个人销量</t>
  </si>
  <si>
    <t>固定成本不增、原折扣结构不变的近似增量；非销售承诺</t>
  </si>
  <si>
    <t>执行口径：逐笔对齐订单—支付—退款—权益—履约—票据；月度记录转化、续购、投诉、单人成本。研究参与、评分和必要教学资源不与购买或训练授权绑定。</t>
  </si>
  <si>
    <t>助学口径：分别公开半价人数、免费人数、实际付费、价格让利与直接服务成本；不把优惠包装为现金捐赠。公司、合同、知识产权、税务和支付规则由负责人按实际业务复核。</t>
  </si>
  <si>
    <t>PLEX｜执行与证据清单</t>
  </si>
  <si>
    <t>32项增量任务；M1从表01启动日算起，日期自动联动。负责人待替换实名；依赖项须在交付验收前完成，可并行准备。状态和证据入口可编辑。</t>
  </si>
  <si>
    <t>首周优先：T01固化已有成果、T07整理原始数据、T14核实硬件实况、T20确认数据用途、T22核对公司与账务。以下“待开始”仅指完善任务，不否定已完成成果。</t>
  </si>
  <si>
    <t>ID</t>
  </si>
  <si>
    <t>优先级</t>
  </si>
  <si>
    <t>下一步动作</t>
  </si>
  <si>
    <t>开始日期</t>
  </si>
  <si>
    <t>截止日期</t>
  </si>
  <si>
    <t>交付依赖</t>
  </si>
  <si>
    <t>交付物 / 验收标准</t>
  </si>
  <si>
    <t>任务状态</t>
  </si>
  <si>
    <t>证据入口（回填）</t>
  </si>
  <si>
    <t>T01</t>
  </si>
  <si>
    <t>P0</t>
  </si>
  <si>
    <t>固化已有成果与最新项目说明</t>
  </si>
  <si>
    <t>—</t>
  </si>
  <si>
    <t>公司、4班约150人、微调、1000元分别有证据索引；更新旧文档</t>
  </si>
  <si>
    <t>待开始</t>
  </si>
  <si>
    <t>待归档</t>
  </si>
  <si>
    <t>T02</t>
  </si>
  <si>
    <t>冻结课程目标、8单元矩阵与评分量规</t>
  </si>
  <si>
    <t>100知识点映射到8单元；前后测及2项目量规经教师确认</t>
  </si>
  <si>
    <t>T03</t>
  </si>
  <si>
    <t>把课程库编成可授课教材V1</t>
  </si>
  <si>
    <t>教研 / 内容</t>
  </si>
  <si>
    <t>8单元教材、例题、分层练习、教师教案与勘误入口</t>
  </si>
  <si>
    <t>T04</t>
  </si>
  <si>
    <t>审查教材、答案与版权来源</t>
  </si>
  <si>
    <t>100知识点双人审稿；关键示例可运行；素材来源可查</t>
  </si>
  <si>
    <t>T05</t>
  </si>
  <si>
    <t>补全个性化依据、追踪与反馈字段</t>
  </si>
  <si>
    <t>产品 / 后端</t>
  </si>
  <si>
    <t>T02、T20</t>
  </si>
  <si>
    <t>画像版本—检索引用—生成版本—审核—学习结果能一链追溯</t>
  </si>
  <si>
    <t>T06</t>
  </si>
  <si>
    <t>建立真实输出与检索质量评测</t>
  </si>
  <si>
    <t>算法 / 教研</t>
  </si>
  <si>
    <t>T04、T05、T08</t>
  </si>
  <si>
    <t>100条资源人工审查；200条独立模型任务；保留失败样例</t>
  </si>
  <si>
    <t>T07</t>
  </si>
  <si>
    <t>复盘已完成4班测试并清洗数据</t>
  </si>
  <si>
    <t>参与/去重/配对/退出人数、字典、清洗脚本与排除日志</t>
  </si>
  <si>
    <t>T08</t>
  </si>
  <si>
    <t>核查训练授权和测试泄漏</t>
  </si>
  <si>
    <t>算法 / 科研</t>
  </si>
  <si>
    <t>学生/时间/近重复题目隔离；训练、验证、测试集版本冻结</t>
  </si>
  <si>
    <t>复现现有微调并产出模型卡</t>
  </si>
  <si>
    <t>基座/RAG/微调同条件比较；质量、成本、局限和回滚版本齐全</t>
  </si>
  <si>
    <t>P1</t>
  </si>
  <si>
    <t>锁定新一轮实验与教师合作</t>
  </si>
  <si>
    <t>科研 / 教研</t>
  </si>
  <si>
    <t>T02、T07、T08、T09</t>
  </si>
  <si>
    <t>预先登记主指标、分组、样本量依据、知情流程与时间窗</t>
  </si>
  <si>
    <t>T11</t>
  </si>
  <si>
    <t>执行独立新队列教学验证</t>
  </si>
  <si>
    <t>教研 / 科研</t>
  </si>
  <si>
    <t>T10、T19</t>
  </si>
  <si>
    <t>按协议完成前测、干预、后测与延迟测；原始数据冻结</t>
  </si>
  <si>
    <t>T12</t>
  </si>
  <si>
    <t>形成统计、分组与缺失分析</t>
  </si>
  <si>
    <t>报告基线调整效应、95%区间、退出和敏感性分析</t>
  </si>
  <si>
    <t>T13</t>
  </si>
  <si>
    <t>交付科研报告与论文初稿</t>
  </si>
  <si>
    <t>T12、T18</t>
  </si>
  <si>
    <t>1份可复核报告/初稿；结论对应证据；无效与局限如实呈现</t>
  </si>
  <si>
    <t>核实硬件进展及课堂必要性</t>
  </si>
  <si>
    <t>硬件 / 教研</t>
  </si>
  <si>
    <t>最新实物/固件/API状态表；说明相对网页的预期增益</t>
  </si>
  <si>
    <t>完成1套真实硬件端云联通</t>
  </si>
  <si>
    <t>T14、T20</t>
  </si>
  <si>
    <t>按键→事件→教师看板→响应；附设备、固件与演示记录</t>
  </si>
  <si>
    <t>T16</t>
  </si>
  <si>
    <t>验收可靠性与小样本易用性</t>
  </si>
  <si>
    <t>测试 / 硬件</t>
  </si>
  <si>
    <t>72小时、断网/重连/重复上报；10人易用性；失败列表关闭</t>
  </si>
  <si>
    <t>T17</t>
  </si>
  <si>
    <t>条件通过后制作最多10套试点终端</t>
  </si>
  <si>
    <t>硬件 / 运营</t>
  </si>
  <si>
    <t>T16、T22</t>
  </si>
  <si>
    <t>采购与资产台账、维护手册；真实照片与成本凭证</t>
  </si>
  <si>
    <t>单独验证硬件的课堂价值</t>
  </si>
  <si>
    <t>比较求助响应、课堂操作与干扰；有增益才继续投入</t>
  </si>
  <si>
    <t>T19</t>
  </si>
  <si>
    <t>完成正式交付与恢复演练</t>
  </si>
  <si>
    <t>T05、T09、T20</t>
  </si>
  <si>
    <t>权限、代码执行隔离、备份恢复、失败降级与回滚；4周可用率≥99%</t>
  </si>
  <si>
    <t>T20</t>
  </si>
  <si>
    <t>确认数据用途、权限与删除流程</t>
  </si>
  <si>
    <t>数据负责人</t>
  </si>
  <si>
    <t>用途、授权依据、存储位置、访问人、保留期、退出/删除流程可查</t>
  </si>
  <si>
    <t>T21</t>
  </si>
  <si>
    <t>审计现有收费全链路并补齐缺口</t>
  </si>
  <si>
    <t>后端 / 财务</t>
  </si>
  <si>
    <t>T01、T22</t>
  </si>
  <si>
    <t>下单、回调验签/幂等、退款、权益回收、对账与票据真实走通</t>
  </si>
  <si>
    <t>T22</t>
  </si>
  <si>
    <t>整理公司、合同与财务基础</t>
  </si>
  <si>
    <t>财务 / 项目</t>
  </si>
  <si>
    <t>主体与账户、历史1000元对账、教材/代码/数据权属、服务合同归档</t>
  </si>
  <si>
    <t>T23</t>
  </si>
  <si>
    <t>校准产品包、定价与服务成本</t>
  </si>
  <si>
    <t>运营 / 财务</t>
  </si>
  <si>
    <t>访谈至少2名机构决策者和10名学生；更新表04价格/成本假设</t>
  </si>
  <si>
    <t>T24</t>
  </si>
  <si>
    <t>跑通稳定付费转化与履约</t>
  </si>
  <si>
    <t>T04、T19、T21、T23</t>
  </si>
  <si>
    <t>阶段目标：新增1机构单+50个人付费人期；记录渠道、退款与履约</t>
  </si>
  <si>
    <t>T25</t>
  </si>
  <si>
    <t>规范半价及免费助学规则</t>
  </si>
  <si>
    <t>运营 / 教研</t>
  </si>
  <si>
    <t>T22、T23</t>
  </si>
  <si>
    <t>资格、名额、期限、公示价格、预算及申诉入口；与实验参与分离</t>
  </si>
  <si>
    <t>T26</t>
  </si>
  <si>
    <t>形成半年度助学与运营台账</t>
  </si>
  <si>
    <t>T24、T25</t>
  </si>
  <si>
    <t>受益人数去重；列实际收款、让利、免费名额、服务成本和反馈</t>
  </si>
  <si>
    <t>T27</t>
  </si>
  <si>
    <t>复制到第二个付费机构</t>
  </si>
  <si>
    <t>T13、T24、T29</t>
  </si>
  <si>
    <t>第二个真实付费机构订单及教师独立使用记录；收款与履约匹配</t>
  </si>
  <si>
    <t>T28</t>
  </si>
  <si>
    <t>P2</t>
  </si>
  <si>
    <t>达成可控扩展并发布教材V2</t>
  </si>
  <si>
    <t>项目 / 教研</t>
  </si>
  <si>
    <t>T13、T27</t>
  </si>
  <si>
    <t>累计≥8班≥300去重学生；累计口径对齐后≥1万元；基准助学40半价+20免费</t>
  </si>
  <si>
    <t>T29</t>
  </si>
  <si>
    <t>形成教师可独立使用的交付包</t>
  </si>
  <si>
    <t>工程 / 教研</t>
  </si>
  <si>
    <t>T04、T19</t>
  </si>
  <si>
    <t>新环境部署、教师手册、培训与支持；非开发教师独立完成1轮</t>
  </si>
  <si>
    <t>T30</t>
  </si>
  <si>
    <t>提交课程项目完整成果包</t>
  </si>
  <si>
    <t>T04、T06、T09、T16、T19、T21</t>
  </si>
  <si>
    <t>教材样章+完整课例+运行演示+已有实证+模型卡+商业/公益台账</t>
  </si>
  <si>
    <t>T31</t>
  </si>
  <si>
    <t>年度经营与全成本复盘</t>
  </si>
  <si>
    <t>T26、T27、T28</t>
  </si>
  <si>
    <t>月度收入/退款/成本可对账；连续3月经营贡献为正；如实列完整成本</t>
  </si>
  <si>
    <t>决定第2课程与下一年度投入</t>
  </si>
  <si>
    <t>T28、T31</t>
  </si>
  <si>
    <t>仅在复购、教学质量与成本通过评审后立项；形成下一年预算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</si>
</sst>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yyyy\-mm\-dd"/>
    <numFmt numFmtId="178" formatCode="0.0%;\(0.0%\);&quot;—&quot;"/>
    <numFmt numFmtId="179" formatCode="#,##0;\(#,##0\);&quot;—&quot;"/>
    <numFmt numFmtId="180" formatCode="\¥#,##0.00;\(\¥#,##0.00\);&quot;—&quot;"/>
  </numFmts>
  <fonts count="14" x14ac:knownFonts="1">
    <font>
      <sz val="11"/>
      <color theme="1"/>
      <name val="宋体"/>
      <family val="2"/>
      <scheme val="minor"/>
    </font>
    <font>
      <b/>
      <sz val="22"/>
      <color rgb="FFFFFFFF"/>
      <name val="微软雅黑"/>
      <family val="2"/>
      <charset val="134"/>
    </font>
    <font>
      <sz val="10"/>
      <color rgb="FF687889"/>
      <name val="微软雅黑"/>
      <family val="2"/>
      <charset val="134"/>
    </font>
    <font>
      <sz val="10"/>
      <color rgb="FF23364B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8000"/>
      <name val="微软雅黑"/>
      <family val="2"/>
      <charset val="134"/>
    </font>
    <font>
      <sz val="10"/>
      <color rgb="FF0000FF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u/>
      <sz val="9"/>
      <color rgb="FF087F8C"/>
      <name val="微软雅黑"/>
      <family val="2"/>
      <charset val="134"/>
    </font>
    <font>
      <sz val="11"/>
      <color rgb="FF0000FF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color rgb="FFA34A20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2F6FA"/>
      </patternFill>
    </fill>
    <fill>
      <patternFill patternType="solid">
        <fgColor rgb="FFFFF2CC"/>
      </patternFill>
    </fill>
    <fill>
      <patternFill patternType="solid">
        <fgColor rgb="FF087F8C"/>
      </patternFill>
    </fill>
    <fill>
      <patternFill patternType="solid">
        <fgColor rgb="FFFFFFFF"/>
      </patternFill>
    </fill>
    <fill>
      <patternFill patternType="solid">
        <fgColor rgb="FFEAF4F5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hair">
        <color rgb="FFDCE4ED"/>
      </bottom>
      <diagonal/>
    </border>
    <border>
      <left/>
      <right/>
      <top/>
      <bottom style="hair">
        <color rgb="FFDCE4E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3" borderId="1" xfId="0" applyFont="1" applyFill="1" applyBorder="1" applyAlignment="1">
      <alignment vertical="center" wrapText="1"/>
    </xf>
    <xf numFmtId="177" fontId="6" fillId="4" borderId="1" xfId="0" applyNumberFormat="1" applyFont="1" applyFill="1" applyBorder="1" applyAlignment="1">
      <alignment vertical="center" wrapText="1"/>
    </xf>
    <xf numFmtId="177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78" fontId="5" fillId="3" borderId="1" xfId="0" applyNumberFormat="1" applyFont="1" applyFill="1" applyBorder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79" fontId="10" fillId="4" borderId="1" xfId="0" applyNumberFormat="1" applyFont="1" applyFill="1" applyBorder="1" applyAlignment="1">
      <alignment vertical="center" wrapText="1"/>
    </xf>
    <xf numFmtId="180" fontId="10" fillId="4" borderId="1" xfId="0" applyNumberFormat="1" applyFont="1" applyFill="1" applyBorder="1" applyAlignment="1">
      <alignment vertical="center" wrapText="1"/>
    </xf>
    <xf numFmtId="178" fontId="10" fillId="4" borderId="1" xfId="0" applyNumberFormat="1" applyFont="1" applyFill="1" applyBorder="1" applyAlignment="1">
      <alignment vertical="center" wrapText="1"/>
    </xf>
    <xf numFmtId="180" fontId="5" fillId="3" borderId="1" xfId="0" applyNumberFormat="1" applyFont="1" applyFill="1" applyBorder="1" applyAlignment="1">
      <alignment vertical="center" wrapText="1"/>
    </xf>
    <xf numFmtId="179" fontId="4" fillId="3" borderId="1" xfId="0" applyNumberFormat="1" applyFont="1" applyFill="1" applyBorder="1" applyAlignment="1">
      <alignment vertical="center" wrapText="1"/>
    </xf>
    <xf numFmtId="180" fontId="4" fillId="3" borderId="1" xfId="0" applyNumberFormat="1" applyFont="1" applyFill="1" applyBorder="1" applyAlignment="1">
      <alignment vertical="center" wrapText="1"/>
    </xf>
    <xf numFmtId="180" fontId="11" fillId="7" borderId="1" xfId="0" applyNumberFormat="1" applyFont="1" applyFill="1" applyBorder="1" applyAlignment="1">
      <alignment vertical="center" wrapText="1"/>
    </xf>
    <xf numFmtId="178" fontId="4" fillId="3" borderId="1" xfId="0" applyNumberFormat="1" applyFont="1" applyFill="1" applyBorder="1" applyAlignment="1">
      <alignment vertical="center" wrapText="1"/>
    </xf>
    <xf numFmtId="179" fontId="11" fillId="7" borderId="1" xfId="0" applyNumberFormat="1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177" fontId="5" fillId="3" borderId="1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7" fillId="5" borderId="0" xfId="0" applyFont="1" applyFill="1" applyAlignment="1">
      <alignment vertical="center" indent="1"/>
    </xf>
    <xf numFmtId="0" fontId="2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 inden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/>
    <xf numFmtId="0" fontId="3" fillId="3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3" fillId="7" borderId="0" xfId="0" applyFont="1" applyFill="1" applyAlignment="1">
      <alignment vertical="center" wrapText="1" indent="1"/>
    </xf>
    <xf numFmtId="0" fontId="3" fillId="6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</cellXfs>
  <cellStyles count="1">
    <cellStyle name="常规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0F0FC"/>
        </patternFill>
      </fill>
    </dxf>
    <dxf>
      <fill>
        <patternFill patternType="solid">
          <fgColor rgb="FFDFF0E5"/>
        </patternFill>
      </fill>
    </dxf>
    <dxf>
      <font>
        <color rgb="FFA33224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exExecution" displayName="PlexExecution" ref="A5:J37">
  <autoFilter ref="A5:J37" xr:uid="{00000000-0009-0000-0100-000001000000}"/>
  <tableColumns count="10">
    <tableColumn id="1" xr3:uid="{00000000-0010-0000-0000-000001000000}" name="ID"/>
    <tableColumn id="2" xr3:uid="{00000000-0010-0000-0000-000002000000}" name="优先级"/>
    <tableColumn id="3" xr3:uid="{00000000-0010-0000-0000-000003000000}" name="下一步动作"/>
    <tableColumn id="4" xr3:uid="{00000000-0010-0000-0000-000004000000}" name="主责角色"/>
    <tableColumn id="5" xr3:uid="{00000000-0010-0000-0000-000005000000}" name="开始日期"/>
    <tableColumn id="6" xr3:uid="{00000000-0010-0000-0000-000006000000}" name="截止日期"/>
    <tableColumn id="7" xr3:uid="{00000000-0010-0000-0000-000007000000}" name="交付依赖"/>
    <tableColumn id="8" xr3:uid="{00000000-0010-0000-0000-000008000000}" name="交付物 / 验收标准"/>
    <tableColumn id="9" xr3:uid="{00000000-0010-0000-0000-000009000000}" name="任务状态"/>
    <tableColumn id="10" xr3:uid="{00000000-0010-0000-0000-00000A000000}" name="证据入口（回填）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es.ed.gov/ncee/wwc/handbooks" TargetMode="External"/><Relationship Id="rId2" Type="http://schemas.openxmlformats.org/officeDocument/2006/relationships/hyperlink" Target="https://doi.org/10.1073/pnas.1319030111" TargetMode="External"/><Relationship Id="rId1" Type="http://schemas.openxmlformats.org/officeDocument/2006/relationships/hyperlink" Target="https://docs.python.org/zh-cn/3/tutorial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research.google/pubs/model-cards-for-model-reportin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7F8C"/>
    <outlinePr summaryRight="0"/>
    <pageSetUpPr fitToPage="1"/>
  </sheetPr>
  <dimension ref="A1:H40"/>
  <sheetViews>
    <sheetView showGridLines="0" tabSelected="1" zoomScale="75" workbookViewId="0">
      <pane xSplit="2" ySplit="5" topLeftCell="C6" activePane="bottomRight" state="frozen"/>
      <selection pane="topRight"/>
      <selection pane="bottomLeft"/>
      <selection pane="bottomRight" sqref="A1:H1"/>
    </sheetView>
  </sheetViews>
  <sheetFormatPr defaultRowHeight="14" x14ac:dyDescent="0.25"/>
  <cols>
    <col min="1" max="1" width="17" customWidth="1"/>
    <col min="2" max="2" width="22" customWidth="1"/>
    <col min="3" max="3" width="32" customWidth="1"/>
    <col min="4" max="4" width="34" customWidth="1"/>
    <col min="5" max="5" width="21" customWidth="1"/>
    <col min="6" max="6" width="23" customWidth="1"/>
    <col min="7" max="7" width="24" customWidth="1"/>
    <col min="8" max="8" width="32" customWidth="1"/>
  </cols>
  <sheetData>
    <row r="1" spans="1:8" ht="46" customHeight="1" x14ac:dyDescent="0.25">
      <c r="A1" s="24" t="s">
        <v>0</v>
      </c>
      <c r="B1" s="25"/>
      <c r="C1" s="25"/>
      <c r="D1" s="25"/>
      <c r="E1" s="25"/>
      <c r="F1" s="25"/>
      <c r="G1" s="25"/>
      <c r="H1" s="25"/>
    </row>
    <row r="2" spans="1:8" ht="36" customHeight="1" x14ac:dyDescent="0.25">
      <c r="A2" s="27" t="s">
        <v>1</v>
      </c>
      <c r="B2" s="25"/>
      <c r="C2" s="25"/>
      <c r="D2" s="25"/>
      <c r="E2" s="25"/>
      <c r="F2" s="25"/>
      <c r="G2" s="25"/>
      <c r="H2" s="25"/>
    </row>
    <row r="4" spans="1:8" ht="32" customHeight="1" x14ac:dyDescent="0.25">
      <c r="A4" s="1" t="s">
        <v>2</v>
      </c>
      <c r="B4" s="2">
        <v>46282</v>
      </c>
      <c r="C4" s="1" t="s">
        <v>3</v>
      </c>
      <c r="D4" s="3">
        <f>EDATE(B4,12)-1</f>
        <v>46646</v>
      </c>
      <c r="E4" s="1" t="s">
        <v>4</v>
      </c>
      <c r="F4" s="4">
        <f>COUNTA('05执行证据'!A6:A37)</f>
        <v>32</v>
      </c>
      <c r="G4" s="1" t="s">
        <v>5</v>
      </c>
      <c r="H4" s="5">
        <f>IFERROR(COUNTIF('05执行证据'!I6:I37,"已完成")/F4,0)</f>
        <v>0</v>
      </c>
    </row>
    <row r="5" spans="1:8" ht="28" customHeight="1" x14ac:dyDescent="0.25">
      <c r="A5" s="26" t="s">
        <v>6</v>
      </c>
      <c r="B5" s="25"/>
      <c r="C5" s="25"/>
      <c r="D5" s="25"/>
      <c r="E5" s="25"/>
      <c r="F5" s="25"/>
      <c r="G5" s="25"/>
      <c r="H5" s="25"/>
    </row>
    <row r="6" spans="1:8" ht="29" customHeight="1" x14ac:dyDescent="0.25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</row>
    <row r="7" spans="1:8" ht="46" customHeight="1" x14ac:dyDescent="0.25">
      <c r="A7" s="1" t="s">
        <v>15</v>
      </c>
      <c r="B7" s="1">
        <v>4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</row>
    <row r="8" spans="1:8" ht="46" customHeight="1" x14ac:dyDescent="0.25">
      <c r="A8" s="7" t="s">
        <v>22</v>
      </c>
      <c r="B8" s="7">
        <v>150</v>
      </c>
      <c r="C8" s="7" t="s">
        <v>23</v>
      </c>
      <c r="D8" s="7" t="s">
        <v>24</v>
      </c>
      <c r="E8" s="7" t="s">
        <v>25</v>
      </c>
      <c r="F8" s="7" t="s">
        <v>19</v>
      </c>
      <c r="G8" s="7" t="s">
        <v>20</v>
      </c>
      <c r="H8" s="7" t="s">
        <v>26</v>
      </c>
    </row>
    <row r="9" spans="1:8" ht="46" customHeight="1" x14ac:dyDescent="0.25">
      <c r="A9" s="1" t="s">
        <v>27</v>
      </c>
      <c r="B9" s="1">
        <v>1000</v>
      </c>
      <c r="C9" s="1" t="s">
        <v>28</v>
      </c>
      <c r="D9" s="1" t="s">
        <v>29</v>
      </c>
      <c r="E9" s="1" t="s">
        <v>30</v>
      </c>
      <c r="F9" s="1" t="s">
        <v>19</v>
      </c>
      <c r="G9" s="1" t="s">
        <v>20</v>
      </c>
      <c r="H9" s="1" t="s">
        <v>31</v>
      </c>
    </row>
    <row r="10" spans="1:8" ht="46" customHeight="1" x14ac:dyDescent="0.25">
      <c r="A10" s="7" t="s">
        <v>32</v>
      </c>
      <c r="B10" s="7">
        <v>1</v>
      </c>
      <c r="C10" s="7" t="s">
        <v>33</v>
      </c>
      <c r="D10" s="7" t="s">
        <v>34</v>
      </c>
      <c r="E10" s="7" t="s">
        <v>35</v>
      </c>
      <c r="F10" s="7" t="s">
        <v>19</v>
      </c>
      <c r="G10" s="7" t="s">
        <v>20</v>
      </c>
      <c r="H10" s="7" t="s">
        <v>36</v>
      </c>
    </row>
    <row r="11" spans="1:8" ht="46" customHeight="1" x14ac:dyDescent="0.25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42</v>
      </c>
      <c r="G11" s="1" t="s">
        <v>20</v>
      </c>
      <c r="H11" s="1" t="s">
        <v>43</v>
      </c>
    </row>
    <row r="12" spans="1:8" ht="46" customHeight="1" x14ac:dyDescent="0.25">
      <c r="A12" s="7" t="s">
        <v>44</v>
      </c>
      <c r="B12" s="7" t="s">
        <v>45</v>
      </c>
      <c r="C12" s="7" t="s">
        <v>46</v>
      </c>
      <c r="D12" s="7" t="s">
        <v>47</v>
      </c>
      <c r="E12" s="7" t="s">
        <v>48</v>
      </c>
      <c r="F12" s="7" t="s">
        <v>19</v>
      </c>
      <c r="G12" s="7" t="s">
        <v>49</v>
      </c>
      <c r="H12" s="7" t="s">
        <v>50</v>
      </c>
    </row>
    <row r="13" spans="1:8" ht="46" customHeight="1" x14ac:dyDescent="0.2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55</v>
      </c>
      <c r="F13" s="1" t="s">
        <v>56</v>
      </c>
      <c r="G13" s="1" t="s">
        <v>57</v>
      </c>
      <c r="H13" s="1" t="s">
        <v>58</v>
      </c>
    </row>
    <row r="15" spans="1:8" ht="28" customHeight="1" x14ac:dyDescent="0.25">
      <c r="A15" s="26" t="s">
        <v>59</v>
      </c>
      <c r="B15" s="25"/>
      <c r="C15" s="25"/>
      <c r="D15" s="25"/>
      <c r="E15" s="25"/>
      <c r="F15" s="25"/>
      <c r="G15" s="25"/>
      <c r="H15" s="25"/>
    </row>
    <row r="16" spans="1:8" ht="29" customHeight="1" x14ac:dyDescent="0.25">
      <c r="A16" s="6" t="s">
        <v>60</v>
      </c>
      <c r="B16" s="6" t="s">
        <v>61</v>
      </c>
      <c r="C16" s="6" t="s">
        <v>62</v>
      </c>
      <c r="D16" s="6" t="s">
        <v>63</v>
      </c>
      <c r="E16" s="6" t="s">
        <v>64</v>
      </c>
      <c r="F16" s="6" t="s">
        <v>11</v>
      </c>
      <c r="G16" s="6" t="s">
        <v>65</v>
      </c>
      <c r="H16" s="6" t="s">
        <v>66</v>
      </c>
    </row>
    <row r="17" spans="1:8" ht="46" customHeight="1" x14ac:dyDescent="0.25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71</v>
      </c>
      <c r="F17" s="1" t="s">
        <v>18</v>
      </c>
      <c r="G17" s="1" t="s">
        <v>72</v>
      </c>
      <c r="H17" s="1" t="s">
        <v>73</v>
      </c>
    </row>
    <row r="18" spans="1:8" ht="46" customHeight="1" x14ac:dyDescent="0.25">
      <c r="A18" s="7" t="s">
        <v>74</v>
      </c>
      <c r="B18" s="7" t="s">
        <v>75</v>
      </c>
      <c r="C18" s="7" t="s">
        <v>76</v>
      </c>
      <c r="D18" s="7" t="s">
        <v>77</v>
      </c>
      <c r="E18" s="7" t="s">
        <v>78</v>
      </c>
      <c r="F18" s="7" t="s">
        <v>79</v>
      </c>
      <c r="G18" s="7" t="s">
        <v>80</v>
      </c>
      <c r="H18" s="7" t="s">
        <v>81</v>
      </c>
    </row>
    <row r="19" spans="1:8" ht="46" customHeight="1" x14ac:dyDescent="0.25">
      <c r="A19" s="1" t="s">
        <v>82</v>
      </c>
      <c r="B19" s="1" t="s">
        <v>83</v>
      </c>
      <c r="C19" s="1" t="s">
        <v>84</v>
      </c>
      <c r="D19" s="1" t="s">
        <v>85</v>
      </c>
      <c r="E19" s="1" t="s">
        <v>86</v>
      </c>
      <c r="F19" s="1" t="s">
        <v>25</v>
      </c>
      <c r="G19" s="1" t="s">
        <v>87</v>
      </c>
      <c r="H19" s="1" t="s">
        <v>88</v>
      </c>
    </row>
    <row r="20" spans="1:8" ht="46" customHeight="1" x14ac:dyDescent="0.25">
      <c r="A20" s="7" t="s">
        <v>89</v>
      </c>
      <c r="B20" s="7" t="s">
        <v>90</v>
      </c>
      <c r="C20" s="7" t="s">
        <v>91</v>
      </c>
      <c r="D20" s="7" t="s">
        <v>92</v>
      </c>
      <c r="E20" s="7" t="s">
        <v>93</v>
      </c>
      <c r="F20" s="7" t="s">
        <v>41</v>
      </c>
      <c r="G20" s="7" t="s">
        <v>94</v>
      </c>
      <c r="H20" s="7" t="s">
        <v>95</v>
      </c>
    </row>
    <row r="21" spans="1:8" ht="46" customHeight="1" x14ac:dyDescent="0.25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93</v>
      </c>
      <c r="F21" s="1" t="s">
        <v>100</v>
      </c>
      <c r="G21" s="1" t="s">
        <v>101</v>
      </c>
      <c r="H21" s="1" t="s">
        <v>102</v>
      </c>
    </row>
    <row r="22" spans="1:8" ht="46" customHeight="1" x14ac:dyDescent="0.25">
      <c r="A22" s="7" t="s">
        <v>103</v>
      </c>
      <c r="B22" s="7" t="s">
        <v>104</v>
      </c>
      <c r="C22" s="7" t="s">
        <v>105</v>
      </c>
      <c r="D22" s="7" t="s">
        <v>106</v>
      </c>
      <c r="E22" s="7" t="s">
        <v>107</v>
      </c>
      <c r="F22" s="7" t="s">
        <v>108</v>
      </c>
      <c r="G22" s="7" t="s">
        <v>109</v>
      </c>
      <c r="H22" s="7" t="s">
        <v>110</v>
      </c>
    </row>
    <row r="23" spans="1:8" ht="46" customHeight="1" x14ac:dyDescent="0.25">
      <c r="A23" s="1" t="s">
        <v>111</v>
      </c>
      <c r="B23" s="1" t="s">
        <v>112</v>
      </c>
      <c r="C23" s="1" t="s">
        <v>113</v>
      </c>
      <c r="D23" s="1" t="s">
        <v>114</v>
      </c>
      <c r="E23" s="1" t="s">
        <v>115</v>
      </c>
      <c r="F23" s="1" t="s">
        <v>116</v>
      </c>
      <c r="G23" s="1" t="s">
        <v>117</v>
      </c>
      <c r="H23" s="1" t="s">
        <v>118</v>
      </c>
    </row>
    <row r="24" spans="1:8" ht="46" customHeight="1" x14ac:dyDescent="0.25">
      <c r="A24" s="7" t="s">
        <v>119</v>
      </c>
      <c r="B24" s="7" t="s">
        <v>120</v>
      </c>
      <c r="C24" s="7" t="s">
        <v>121</v>
      </c>
      <c r="D24" s="7" t="s">
        <v>122</v>
      </c>
      <c r="E24" s="7" t="s">
        <v>123</v>
      </c>
      <c r="F24" s="7" t="s">
        <v>124</v>
      </c>
      <c r="G24" s="7" t="s">
        <v>125</v>
      </c>
      <c r="H24" s="7" t="s">
        <v>126</v>
      </c>
    </row>
    <row r="26" spans="1:8" ht="28" customHeight="1" x14ac:dyDescent="0.25">
      <c r="A26" s="26" t="s">
        <v>127</v>
      </c>
      <c r="B26" s="25"/>
      <c r="C26" s="25"/>
      <c r="D26" s="25"/>
      <c r="E26" s="25"/>
      <c r="F26" s="25"/>
      <c r="G26" s="25"/>
      <c r="H26" s="25"/>
    </row>
    <row r="27" spans="1:8" ht="29" customHeight="1" x14ac:dyDescent="0.25">
      <c r="A27" s="6" t="s">
        <v>128</v>
      </c>
      <c r="B27" s="6" t="s">
        <v>129</v>
      </c>
      <c r="C27" s="6" t="s">
        <v>130</v>
      </c>
      <c r="D27" s="6" t="s">
        <v>131</v>
      </c>
      <c r="E27" s="6" t="s">
        <v>132</v>
      </c>
      <c r="F27" s="6" t="s">
        <v>133</v>
      </c>
      <c r="G27" s="6" t="s">
        <v>134</v>
      </c>
      <c r="H27" s="6" t="s">
        <v>135</v>
      </c>
    </row>
    <row r="28" spans="1:8" ht="46" customHeight="1" x14ac:dyDescent="0.25">
      <c r="A28" s="1" t="s">
        <v>136</v>
      </c>
      <c r="B28" s="8" t="str">
        <f>"M1｜"&amp;TEXT($B$4,"m/d")&amp;"—"&amp;TEXT(EDATE($B$4,1)-1,"m/d")</f>
        <v>M1｜9/17—10/16</v>
      </c>
      <c r="C28" s="1" t="s">
        <v>137</v>
      </c>
      <c r="D28" s="1" t="s">
        <v>138</v>
      </c>
      <c r="E28" s="1" t="s">
        <v>139</v>
      </c>
      <c r="F28" s="1" t="s">
        <v>35</v>
      </c>
      <c r="G28" s="1" t="s">
        <v>140</v>
      </c>
      <c r="H28" s="1" t="s">
        <v>141</v>
      </c>
    </row>
    <row r="29" spans="1:8" ht="55" customHeight="1" x14ac:dyDescent="0.25">
      <c r="A29" s="7" t="s">
        <v>142</v>
      </c>
      <c r="B29" s="9" t="str">
        <f>"M2—M3｜至"&amp;TEXT(EDATE($B$4,3)-1,"yyyy/m/d")</f>
        <v>M2—M3｜至2026/12/16</v>
      </c>
      <c r="C29" s="7" t="s">
        <v>143</v>
      </c>
      <c r="D29" s="7" t="s">
        <v>144</v>
      </c>
      <c r="E29" s="7" t="s">
        <v>145</v>
      </c>
      <c r="F29" s="7" t="s">
        <v>146</v>
      </c>
      <c r="G29" s="7" t="s">
        <v>147</v>
      </c>
      <c r="H29" s="7" t="s">
        <v>148</v>
      </c>
    </row>
    <row r="30" spans="1:8" ht="46" customHeight="1" x14ac:dyDescent="0.25">
      <c r="A30" s="1" t="s">
        <v>149</v>
      </c>
      <c r="B30" s="8" t="str">
        <f>"M4—M6｜至"&amp;TEXT(EDATE($B$4,6)-1,"yyyy/m/d")</f>
        <v>M4—M6｜至2027/3/16</v>
      </c>
      <c r="C30" s="1" t="s">
        <v>150</v>
      </c>
      <c r="D30" s="1" t="s">
        <v>151</v>
      </c>
      <c r="E30" s="1" t="s">
        <v>152</v>
      </c>
      <c r="F30" s="1" t="s">
        <v>153</v>
      </c>
      <c r="G30" s="1" t="s">
        <v>154</v>
      </c>
      <c r="H30" s="1" t="s">
        <v>155</v>
      </c>
    </row>
    <row r="31" spans="1:8" ht="46" customHeight="1" x14ac:dyDescent="0.25">
      <c r="A31" s="7" t="s">
        <v>156</v>
      </c>
      <c r="B31" s="9" t="str">
        <f>"M7—M12｜至"&amp;TEXT(EDATE($B$4,12)-1,"yyyy/m/d")</f>
        <v>M7—M12｜至2027/9/16</v>
      </c>
      <c r="C31" s="7" t="s">
        <v>157</v>
      </c>
      <c r="D31" s="7" t="s">
        <v>158</v>
      </c>
      <c r="E31" s="7" t="s">
        <v>159</v>
      </c>
      <c r="F31" s="7" t="s">
        <v>35</v>
      </c>
      <c r="G31" s="7" t="s">
        <v>160</v>
      </c>
      <c r="H31" s="7" t="s">
        <v>161</v>
      </c>
    </row>
    <row r="32" spans="1:8" ht="46" customHeight="1" x14ac:dyDescent="0.25">
      <c r="A32" s="1" t="s">
        <v>162</v>
      </c>
      <c r="B32" s="8" t="str">
        <f>"M13—M24｜至"&amp;TEXT(EDATE($B$4,24)-1,"yyyy/m/d")</f>
        <v>M13—M24｜至2028/9/16</v>
      </c>
      <c r="C32" s="1" t="s">
        <v>163</v>
      </c>
      <c r="D32" s="1" t="s">
        <v>164</v>
      </c>
      <c r="E32" s="1" t="s">
        <v>165</v>
      </c>
      <c r="F32" s="1" t="s">
        <v>35</v>
      </c>
      <c r="G32" s="1" t="s">
        <v>166</v>
      </c>
      <c r="H32" s="1" t="s">
        <v>167</v>
      </c>
    </row>
    <row r="34" spans="1:8" ht="28" customHeight="1" x14ac:dyDescent="0.25">
      <c r="A34" s="26" t="s">
        <v>168</v>
      </c>
      <c r="B34" s="25"/>
      <c r="C34" s="25"/>
      <c r="D34" s="25"/>
      <c r="E34" s="25"/>
      <c r="F34" s="25"/>
      <c r="G34" s="25"/>
      <c r="H34" s="25"/>
    </row>
    <row r="35" spans="1:8" ht="46" customHeight="1" x14ac:dyDescent="0.25">
      <c r="A35" s="1" t="s">
        <v>169</v>
      </c>
      <c r="B35" s="1" t="s">
        <v>170</v>
      </c>
      <c r="C35" s="1" t="s">
        <v>171</v>
      </c>
      <c r="D35" s="1" t="s">
        <v>172</v>
      </c>
      <c r="E35" s="1" t="s">
        <v>173</v>
      </c>
      <c r="F35" s="1" t="s">
        <v>174</v>
      </c>
      <c r="G35" s="1" t="s">
        <v>175</v>
      </c>
      <c r="H35" s="1" t="s">
        <v>176</v>
      </c>
    </row>
    <row r="36" spans="1:8" ht="46" customHeight="1" x14ac:dyDescent="0.25">
      <c r="A36" s="7" t="s">
        <v>177</v>
      </c>
      <c r="B36" s="7" t="s">
        <v>178</v>
      </c>
      <c r="C36" s="7" t="s">
        <v>179</v>
      </c>
      <c r="D36" s="7" t="s">
        <v>180</v>
      </c>
      <c r="E36" s="7" t="s">
        <v>181</v>
      </c>
      <c r="F36" s="7" t="s">
        <v>182</v>
      </c>
      <c r="G36" s="7" t="s">
        <v>183</v>
      </c>
      <c r="H36" s="7" t="s">
        <v>184</v>
      </c>
    </row>
    <row r="37" spans="1:8" ht="46" customHeight="1" x14ac:dyDescent="0.25">
      <c r="A37" s="1" t="s">
        <v>185</v>
      </c>
      <c r="B37" s="1" t="s">
        <v>186</v>
      </c>
      <c r="C37" s="1" t="s">
        <v>187</v>
      </c>
      <c r="D37" s="10" t="s">
        <v>188</v>
      </c>
      <c r="E37" s="1" t="s">
        <v>189</v>
      </c>
      <c r="F37" s="1" t="s">
        <v>190</v>
      </c>
      <c r="G37" s="1" t="s">
        <v>191</v>
      </c>
      <c r="H37" s="1" t="s">
        <v>192</v>
      </c>
    </row>
    <row r="38" spans="1:8" ht="46" customHeight="1" x14ac:dyDescent="0.25">
      <c r="A38" s="7" t="s">
        <v>193</v>
      </c>
      <c r="B38" s="7" t="s">
        <v>194</v>
      </c>
      <c r="C38" s="7" t="s">
        <v>195</v>
      </c>
      <c r="D38" s="11" t="s">
        <v>196</v>
      </c>
      <c r="E38" s="7" t="s">
        <v>197</v>
      </c>
      <c r="F38" s="7" t="s">
        <v>198</v>
      </c>
      <c r="G38" s="7" t="s">
        <v>191</v>
      </c>
      <c r="H38" s="7" t="s">
        <v>199</v>
      </c>
    </row>
    <row r="39" spans="1:8" ht="46" customHeight="1" x14ac:dyDescent="0.25">
      <c r="A39" s="1" t="s">
        <v>200</v>
      </c>
      <c r="B39" s="1" t="s">
        <v>201</v>
      </c>
      <c r="C39" s="1" t="s">
        <v>202</v>
      </c>
      <c r="D39" s="10" t="s">
        <v>203</v>
      </c>
      <c r="E39" s="1" t="s">
        <v>204</v>
      </c>
      <c r="F39" s="1" t="s">
        <v>205</v>
      </c>
      <c r="G39" s="1" t="s">
        <v>206</v>
      </c>
      <c r="H39" s="1" t="s">
        <v>207</v>
      </c>
    </row>
    <row r="40" spans="1:8" ht="46" customHeight="1" x14ac:dyDescent="0.25">
      <c r="A40" s="7" t="s">
        <v>208</v>
      </c>
      <c r="B40" s="7" t="s">
        <v>209</v>
      </c>
      <c r="C40" s="7" t="s">
        <v>210</v>
      </c>
      <c r="D40" s="11" t="s">
        <v>211</v>
      </c>
      <c r="E40" s="7" t="s">
        <v>212</v>
      </c>
      <c r="F40" s="7" t="s">
        <v>213</v>
      </c>
      <c r="G40" s="7" t="s">
        <v>206</v>
      </c>
      <c r="H40" s="7" t="s">
        <v>214</v>
      </c>
    </row>
  </sheetData>
  <mergeCells count="6">
    <mergeCell ref="A34:H34"/>
    <mergeCell ref="A1:H1"/>
    <mergeCell ref="A26:H26"/>
    <mergeCell ref="A15:H15"/>
    <mergeCell ref="A2:H2"/>
    <mergeCell ref="A5:H5"/>
  </mergeCells>
  <phoneticPr fontId="13" type="noConversion"/>
  <hyperlinks>
    <hyperlink ref="D37" r:id="rId1" xr:uid="{00000000-0004-0000-0000-000000000000}"/>
    <hyperlink ref="D38" r:id="rId2" xr:uid="{00000000-0004-0000-0000-000001000000}"/>
    <hyperlink ref="D39" r:id="rId3" xr:uid="{00000000-0004-0000-0000-000002000000}"/>
    <hyperlink ref="D40" r:id="rId4" xr:uid="{00000000-0004-0000-0000-000003000000}"/>
  </hyperlinks>
  <printOptions horizontalCentered="1"/>
  <pageMargins left="0.25" right="0.25" top="0.35" bottom="0.35" header="0.5" footer="0.5"/>
  <pageSetup paperSize="8" fitToHeight="0" orientation="landscape"/>
  <headerFooter>
    <oddFooter>&amp;CPLEX · 12个月执行 / 24个月展望 · 规划目标≠已实现结果&amp;R&amp;P / &amp;N</oddFooter>
  </headerFooter>
  <rowBreaks count="2" manualBreakCount="2">
    <brk id="13" max="16383" man="1"/>
    <brk id="24" max="16383" man="1"/>
  </rowBreaks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F8C"/>
    <outlinePr summaryRight="0"/>
    <pageSetUpPr fitToPage="1"/>
  </sheetPr>
  <dimension ref="A1:G33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11" customWidth="1"/>
    <col min="2" max="2" width="23" customWidth="1"/>
    <col min="3" max="3" width="37" customWidth="1"/>
    <col min="4" max="4" width="40" customWidth="1"/>
    <col min="5" max="5" width="37" customWidth="1"/>
    <col min="6" max="6" width="35" customWidth="1"/>
    <col min="7" max="7" width="32" customWidth="1"/>
  </cols>
  <sheetData>
    <row r="1" spans="1:7" ht="46" customHeight="1" x14ac:dyDescent="0.25">
      <c r="A1" s="24" t="s">
        <v>215</v>
      </c>
      <c r="B1" s="25"/>
      <c r="C1" s="25"/>
      <c r="D1" s="25"/>
      <c r="E1" s="25"/>
      <c r="F1" s="25"/>
      <c r="G1" s="25"/>
    </row>
    <row r="2" spans="1:7" ht="36" customHeight="1" x14ac:dyDescent="0.25">
      <c r="A2" s="27" t="s">
        <v>216</v>
      </c>
      <c r="B2" s="25"/>
      <c r="C2" s="25"/>
      <c r="D2" s="25"/>
      <c r="E2" s="25"/>
      <c r="F2" s="25"/>
      <c r="G2" s="25"/>
    </row>
    <row r="4" spans="1:7" ht="28" customHeight="1" x14ac:dyDescent="0.25">
      <c r="A4" s="26" t="s">
        <v>217</v>
      </c>
      <c r="B4" s="25"/>
      <c r="C4" s="25"/>
      <c r="D4" s="25"/>
      <c r="E4" s="25"/>
      <c r="F4" s="25"/>
      <c r="G4" s="25"/>
    </row>
    <row r="5" spans="1:7" ht="29" customHeight="1" x14ac:dyDescent="0.25">
      <c r="A5" s="6" t="s">
        <v>218</v>
      </c>
      <c r="B5" s="6" t="s">
        <v>219</v>
      </c>
      <c r="C5" s="6" t="s">
        <v>220</v>
      </c>
      <c r="D5" s="6" t="s">
        <v>221</v>
      </c>
      <c r="E5" s="6" t="s">
        <v>222</v>
      </c>
      <c r="F5" s="6" t="s">
        <v>223</v>
      </c>
      <c r="G5" s="6" t="s">
        <v>224</v>
      </c>
    </row>
    <row r="6" spans="1:7" ht="46" customHeight="1" x14ac:dyDescent="0.25">
      <c r="A6" s="1" t="s">
        <v>225</v>
      </c>
      <c r="B6" s="1" t="s">
        <v>226</v>
      </c>
      <c r="C6" s="1" t="s">
        <v>227</v>
      </c>
      <c r="D6" s="1" t="s">
        <v>228</v>
      </c>
      <c r="E6" s="1" t="s">
        <v>229</v>
      </c>
      <c r="F6" s="1" t="s">
        <v>230</v>
      </c>
      <c r="G6" s="1" t="s">
        <v>231</v>
      </c>
    </row>
    <row r="7" spans="1:7" ht="46" customHeight="1" x14ac:dyDescent="0.25">
      <c r="A7" s="7" t="s">
        <v>232</v>
      </c>
      <c r="B7" s="7" t="s">
        <v>233</v>
      </c>
      <c r="C7" s="7" t="s">
        <v>234</v>
      </c>
      <c r="D7" s="7" t="s">
        <v>235</v>
      </c>
      <c r="E7" s="7" t="s">
        <v>236</v>
      </c>
      <c r="F7" s="7" t="s">
        <v>237</v>
      </c>
      <c r="G7" s="7" t="s">
        <v>238</v>
      </c>
    </row>
    <row r="8" spans="1:7" ht="46" customHeight="1" x14ac:dyDescent="0.25">
      <c r="A8" s="1" t="s">
        <v>239</v>
      </c>
      <c r="B8" s="1" t="s">
        <v>240</v>
      </c>
      <c r="C8" s="1" t="s">
        <v>241</v>
      </c>
      <c r="D8" s="1" t="s">
        <v>242</v>
      </c>
      <c r="E8" s="1" t="s">
        <v>243</v>
      </c>
      <c r="F8" s="1" t="s">
        <v>244</v>
      </c>
      <c r="G8" s="1" t="s">
        <v>245</v>
      </c>
    </row>
    <row r="9" spans="1:7" ht="46" customHeight="1" x14ac:dyDescent="0.25">
      <c r="A9" s="7" t="s">
        <v>246</v>
      </c>
      <c r="B9" s="7" t="s">
        <v>247</v>
      </c>
      <c r="C9" s="7" t="s">
        <v>248</v>
      </c>
      <c r="D9" s="7" t="s">
        <v>249</v>
      </c>
      <c r="E9" s="7" t="s">
        <v>250</v>
      </c>
      <c r="F9" s="7" t="s">
        <v>251</v>
      </c>
      <c r="G9" s="7" t="s">
        <v>252</v>
      </c>
    </row>
    <row r="10" spans="1:7" ht="46" customHeight="1" x14ac:dyDescent="0.25">
      <c r="A10" s="1" t="s">
        <v>253</v>
      </c>
      <c r="B10" s="1" t="s">
        <v>254</v>
      </c>
      <c r="C10" s="1" t="s">
        <v>255</v>
      </c>
      <c r="D10" s="1" t="s">
        <v>256</v>
      </c>
      <c r="E10" s="1" t="s">
        <v>257</v>
      </c>
      <c r="F10" s="1" t="s">
        <v>258</v>
      </c>
      <c r="G10" s="1" t="s">
        <v>259</v>
      </c>
    </row>
    <row r="11" spans="1:7" ht="46" customHeight="1" x14ac:dyDescent="0.25">
      <c r="A11" s="7" t="s">
        <v>260</v>
      </c>
      <c r="B11" s="7" t="s">
        <v>261</v>
      </c>
      <c r="C11" s="7" t="s">
        <v>262</v>
      </c>
      <c r="D11" s="7" t="s">
        <v>263</v>
      </c>
      <c r="E11" s="7" t="s">
        <v>264</v>
      </c>
      <c r="F11" s="7" t="s">
        <v>265</v>
      </c>
      <c r="G11" s="7" t="s">
        <v>266</v>
      </c>
    </row>
    <row r="12" spans="1:7" ht="46" customHeight="1" x14ac:dyDescent="0.25">
      <c r="A12" s="1" t="s">
        <v>267</v>
      </c>
      <c r="B12" s="1" t="s">
        <v>268</v>
      </c>
      <c r="C12" s="1" t="s">
        <v>269</v>
      </c>
      <c r="D12" s="1" t="s">
        <v>270</v>
      </c>
      <c r="E12" s="1" t="s">
        <v>271</v>
      </c>
      <c r="F12" s="1" t="s">
        <v>272</v>
      </c>
      <c r="G12" s="1" t="s">
        <v>273</v>
      </c>
    </row>
    <row r="13" spans="1:7" ht="46" customHeight="1" x14ac:dyDescent="0.25">
      <c r="A13" s="7" t="s">
        <v>274</v>
      </c>
      <c r="B13" s="7" t="s">
        <v>275</v>
      </c>
      <c r="C13" s="7" t="s">
        <v>276</v>
      </c>
      <c r="D13" s="7" t="s">
        <v>277</v>
      </c>
      <c r="E13" s="7" t="s">
        <v>278</v>
      </c>
      <c r="F13" s="7" t="s">
        <v>279</v>
      </c>
      <c r="G13" s="7" t="s">
        <v>280</v>
      </c>
    </row>
    <row r="14" spans="1:7" ht="34" customHeight="1" x14ac:dyDescent="0.25">
      <c r="A14" s="28" t="s">
        <v>281</v>
      </c>
      <c r="B14" s="25"/>
      <c r="C14" s="25"/>
      <c r="D14" s="25"/>
      <c r="E14" s="25"/>
      <c r="F14" s="25"/>
      <c r="G14" s="25"/>
    </row>
    <row r="16" spans="1:7" ht="28" customHeight="1" x14ac:dyDescent="0.25">
      <c r="A16" s="26" t="s">
        <v>282</v>
      </c>
      <c r="B16" s="25"/>
      <c r="C16" s="25"/>
      <c r="D16" s="25"/>
      <c r="E16" s="25"/>
      <c r="F16" s="25"/>
      <c r="G16" s="25"/>
    </row>
    <row r="17" spans="1:7" ht="29" customHeight="1" x14ac:dyDescent="0.25">
      <c r="A17" s="6" t="s">
        <v>283</v>
      </c>
      <c r="B17" s="6" t="s">
        <v>284</v>
      </c>
      <c r="C17" s="6" t="s">
        <v>285</v>
      </c>
      <c r="D17" s="6" t="s">
        <v>286</v>
      </c>
      <c r="E17" s="6" t="s">
        <v>287</v>
      </c>
      <c r="F17" s="6" t="s">
        <v>288</v>
      </c>
      <c r="G17" s="6" t="s">
        <v>65</v>
      </c>
    </row>
    <row r="18" spans="1:7" ht="46" customHeight="1" x14ac:dyDescent="0.25">
      <c r="A18" s="1" t="s">
        <v>289</v>
      </c>
      <c r="B18" s="1" t="s">
        <v>290</v>
      </c>
      <c r="C18" s="1" t="s">
        <v>291</v>
      </c>
      <c r="D18" s="1" t="s">
        <v>292</v>
      </c>
      <c r="E18" s="1" t="s">
        <v>293</v>
      </c>
      <c r="F18" s="1" t="s">
        <v>294</v>
      </c>
      <c r="G18" s="1" t="s">
        <v>295</v>
      </c>
    </row>
    <row r="19" spans="1:7" ht="46" customHeight="1" x14ac:dyDescent="0.25">
      <c r="A19" s="7" t="s">
        <v>296</v>
      </c>
      <c r="B19" s="7" t="s">
        <v>297</v>
      </c>
      <c r="C19" s="7" t="s">
        <v>298</v>
      </c>
      <c r="D19" s="7" t="s">
        <v>299</v>
      </c>
      <c r="E19" s="7" t="s">
        <v>300</v>
      </c>
      <c r="F19" s="7" t="s">
        <v>301</v>
      </c>
      <c r="G19" s="7" t="s">
        <v>302</v>
      </c>
    </row>
    <row r="20" spans="1:7" ht="46" customHeight="1" x14ac:dyDescent="0.25">
      <c r="A20" s="1" t="s">
        <v>303</v>
      </c>
      <c r="B20" s="1" t="s">
        <v>304</v>
      </c>
      <c r="C20" s="1" t="s">
        <v>305</v>
      </c>
      <c r="D20" s="1" t="s">
        <v>306</v>
      </c>
      <c r="E20" s="1" t="s">
        <v>307</v>
      </c>
      <c r="F20" s="1" t="s">
        <v>308</v>
      </c>
      <c r="G20" s="1" t="s">
        <v>309</v>
      </c>
    </row>
    <row r="21" spans="1:7" ht="46" customHeight="1" x14ac:dyDescent="0.25">
      <c r="A21" s="7" t="s">
        <v>310</v>
      </c>
      <c r="B21" s="7" t="s">
        <v>311</v>
      </c>
      <c r="C21" s="7" t="s">
        <v>312</v>
      </c>
      <c r="D21" s="7" t="s">
        <v>313</v>
      </c>
      <c r="E21" s="7" t="s">
        <v>314</v>
      </c>
      <c r="F21" s="7" t="s">
        <v>315</v>
      </c>
      <c r="G21" s="7" t="s">
        <v>316</v>
      </c>
    </row>
    <row r="22" spans="1:7" ht="46" customHeight="1" x14ac:dyDescent="0.25">
      <c r="A22" s="1" t="s">
        <v>317</v>
      </c>
      <c r="B22" s="1" t="s">
        <v>318</v>
      </c>
      <c r="C22" s="1" t="s">
        <v>319</v>
      </c>
      <c r="D22" s="1" t="s">
        <v>320</v>
      </c>
      <c r="E22" s="1" t="s">
        <v>321</v>
      </c>
      <c r="F22" s="1" t="s">
        <v>322</v>
      </c>
      <c r="G22" s="1" t="s">
        <v>323</v>
      </c>
    </row>
    <row r="23" spans="1:7" ht="46" customHeight="1" x14ac:dyDescent="0.25">
      <c r="A23" s="7" t="s">
        <v>324</v>
      </c>
      <c r="B23" s="7" t="s">
        <v>325</v>
      </c>
      <c r="C23" s="7" t="s">
        <v>326</v>
      </c>
      <c r="D23" s="7" t="s">
        <v>327</v>
      </c>
      <c r="E23" s="7" t="s">
        <v>328</v>
      </c>
      <c r="F23" s="7" t="s">
        <v>329</v>
      </c>
      <c r="G23" s="7" t="s">
        <v>330</v>
      </c>
    </row>
    <row r="24" spans="1:7" ht="46" customHeight="1" x14ac:dyDescent="0.25">
      <c r="A24" s="1" t="s">
        <v>331</v>
      </c>
      <c r="B24" s="1" t="s">
        <v>332</v>
      </c>
      <c r="C24" s="1" t="s">
        <v>333</v>
      </c>
      <c r="D24" s="1" t="s">
        <v>334</v>
      </c>
      <c r="E24" s="1" t="s">
        <v>335</v>
      </c>
      <c r="F24" s="1" t="s">
        <v>336</v>
      </c>
      <c r="G24" s="1" t="s">
        <v>337</v>
      </c>
    </row>
    <row r="26" spans="1:7" ht="28" customHeight="1" x14ac:dyDescent="0.25">
      <c r="A26" s="26" t="s">
        <v>338</v>
      </c>
      <c r="B26" s="25"/>
      <c r="C26" s="25"/>
      <c r="D26" s="25"/>
      <c r="E26" s="25"/>
      <c r="F26" s="25"/>
      <c r="G26" s="25"/>
    </row>
    <row r="27" spans="1:7" ht="29" customHeight="1" x14ac:dyDescent="0.25">
      <c r="A27" s="6" t="s">
        <v>339</v>
      </c>
      <c r="B27" s="6" t="s">
        <v>340</v>
      </c>
      <c r="C27" s="6" t="s">
        <v>341</v>
      </c>
      <c r="D27" s="6" t="s">
        <v>342</v>
      </c>
      <c r="E27" s="6" t="s">
        <v>343</v>
      </c>
      <c r="F27" s="6" t="s">
        <v>344</v>
      </c>
      <c r="G27" s="6" t="s">
        <v>65</v>
      </c>
    </row>
    <row r="28" spans="1:7" ht="46" customHeight="1" x14ac:dyDescent="0.25">
      <c r="A28" s="1" t="s">
        <v>345</v>
      </c>
      <c r="B28" s="1" t="s">
        <v>346</v>
      </c>
      <c r="C28" s="1" t="s">
        <v>347</v>
      </c>
      <c r="D28" s="1" t="s">
        <v>348</v>
      </c>
      <c r="E28" s="1" t="s">
        <v>349</v>
      </c>
      <c r="F28" s="1" t="s">
        <v>350</v>
      </c>
      <c r="G28" s="1" t="s">
        <v>351</v>
      </c>
    </row>
    <row r="29" spans="1:7" ht="46" customHeight="1" x14ac:dyDescent="0.25">
      <c r="A29" s="7" t="s">
        <v>352</v>
      </c>
      <c r="B29" s="7" t="s">
        <v>353</v>
      </c>
      <c r="C29" s="7" t="s">
        <v>354</v>
      </c>
      <c r="D29" s="7" t="s">
        <v>355</v>
      </c>
      <c r="E29" s="7" t="s">
        <v>356</v>
      </c>
      <c r="F29" s="7" t="s">
        <v>357</v>
      </c>
      <c r="G29" s="7" t="s">
        <v>358</v>
      </c>
    </row>
    <row r="30" spans="1:7" ht="46" customHeight="1" x14ac:dyDescent="0.25">
      <c r="A30" s="1" t="s">
        <v>359</v>
      </c>
      <c r="B30" s="1" t="s">
        <v>360</v>
      </c>
      <c r="C30" s="1" t="s">
        <v>361</v>
      </c>
      <c r="D30" s="1" t="s">
        <v>362</v>
      </c>
      <c r="E30" s="1" t="s">
        <v>363</v>
      </c>
      <c r="F30" s="1" t="s">
        <v>364</v>
      </c>
      <c r="G30" s="1" t="s">
        <v>365</v>
      </c>
    </row>
    <row r="31" spans="1:7" ht="46" customHeight="1" x14ac:dyDescent="0.25">
      <c r="A31" s="7" t="s">
        <v>366</v>
      </c>
      <c r="B31" s="7" t="s">
        <v>367</v>
      </c>
      <c r="C31" s="7" t="s">
        <v>368</v>
      </c>
      <c r="D31" s="7" t="s">
        <v>369</v>
      </c>
      <c r="E31" s="7" t="s">
        <v>370</v>
      </c>
      <c r="F31" s="7" t="s">
        <v>371</v>
      </c>
      <c r="G31" s="7" t="s">
        <v>372</v>
      </c>
    </row>
    <row r="32" spans="1:7" ht="46" customHeight="1" x14ac:dyDescent="0.25">
      <c r="A32" s="1" t="s">
        <v>373</v>
      </c>
      <c r="B32" s="1" t="s">
        <v>374</v>
      </c>
      <c r="C32" s="1" t="s">
        <v>375</v>
      </c>
      <c r="D32" s="1" t="s">
        <v>376</v>
      </c>
      <c r="E32" s="1" t="s">
        <v>377</v>
      </c>
      <c r="F32" s="1" t="s">
        <v>378</v>
      </c>
      <c r="G32" s="1" t="s">
        <v>379</v>
      </c>
    </row>
    <row r="33" spans="1:7" ht="46" customHeight="1" x14ac:dyDescent="0.25">
      <c r="A33" s="7" t="s">
        <v>380</v>
      </c>
      <c r="B33" s="7" t="s">
        <v>381</v>
      </c>
      <c r="C33" s="7" t="s">
        <v>382</v>
      </c>
      <c r="D33" s="7" t="s">
        <v>383</v>
      </c>
      <c r="E33" s="7" t="s">
        <v>384</v>
      </c>
      <c r="F33" s="7" t="s">
        <v>385</v>
      </c>
      <c r="G33" s="7" t="s">
        <v>386</v>
      </c>
    </row>
  </sheetData>
  <mergeCells count="6">
    <mergeCell ref="A14:G14"/>
    <mergeCell ref="A1:G1"/>
    <mergeCell ref="A4:G4"/>
    <mergeCell ref="A26:G26"/>
    <mergeCell ref="A2:G2"/>
    <mergeCell ref="A16:G16"/>
  </mergeCells>
  <phoneticPr fontId="13" type="noConversion"/>
  <printOptions horizontalCentered="1"/>
  <pageMargins left="0.25" right="0.25" top="0.35" bottom="0.35" header="0.5" footer="0.5"/>
  <pageSetup paperSize="8" fitToHeight="0" orientation="landscape"/>
  <headerFooter>
    <oddFooter>&amp;CPLEX · 12个月执行 / 24个月展望 · 规划目标≠已实现结果&amp;R&amp;P / &amp;N</oddFooter>
  </headerFooter>
  <rowBreaks count="2" manualBreakCount="2">
    <brk id="14" max="16383" man="1"/>
    <brk id="24" max="16383" man="1"/>
  </rowBreak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F8C"/>
    <outlinePr summaryRight="0"/>
    <pageSetUpPr fitToPage="1"/>
  </sheetPr>
  <dimension ref="A1:G25"/>
  <sheetViews>
    <sheetView showGridLines="0" zoomScale="75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12" customWidth="1"/>
    <col min="2" max="2" width="25" customWidth="1"/>
    <col min="3" max="3" width="44" customWidth="1"/>
    <col min="4" max="5" width="42" customWidth="1"/>
    <col min="6" max="6" width="34" customWidth="1"/>
    <col min="7" max="7" width="19" customWidth="1"/>
  </cols>
  <sheetData>
    <row r="1" spans="1:7" ht="46" customHeight="1" x14ac:dyDescent="0.25">
      <c r="A1" s="24" t="s">
        <v>387</v>
      </c>
      <c r="B1" s="25"/>
      <c r="C1" s="25"/>
      <c r="D1" s="25"/>
      <c r="E1" s="25"/>
      <c r="F1" s="25"/>
      <c r="G1" s="25"/>
    </row>
    <row r="2" spans="1:7" ht="36" customHeight="1" x14ac:dyDescent="0.25">
      <c r="A2" s="27" t="s">
        <v>388</v>
      </c>
      <c r="B2" s="25"/>
      <c r="C2" s="25"/>
      <c r="D2" s="25"/>
      <c r="E2" s="25"/>
      <c r="F2" s="25"/>
      <c r="G2" s="25"/>
    </row>
    <row r="4" spans="1:7" ht="28" customHeight="1" x14ac:dyDescent="0.25">
      <c r="A4" s="26" t="s">
        <v>389</v>
      </c>
      <c r="B4" s="25"/>
      <c r="C4" s="25"/>
      <c r="D4" s="25"/>
      <c r="E4" s="25"/>
      <c r="F4" s="25"/>
      <c r="G4" s="25"/>
    </row>
    <row r="5" spans="1:7" ht="29" customHeight="1" x14ac:dyDescent="0.25">
      <c r="A5" s="6" t="s">
        <v>390</v>
      </c>
      <c r="B5" s="6" t="s">
        <v>391</v>
      </c>
      <c r="C5" s="6" t="s">
        <v>392</v>
      </c>
      <c r="D5" s="6" t="s">
        <v>393</v>
      </c>
      <c r="E5" s="6" t="s">
        <v>394</v>
      </c>
      <c r="F5" s="6" t="s">
        <v>395</v>
      </c>
      <c r="G5" s="6" t="s">
        <v>65</v>
      </c>
    </row>
    <row r="6" spans="1:7" ht="46" customHeight="1" x14ac:dyDescent="0.25">
      <c r="A6" s="1" t="s">
        <v>396</v>
      </c>
      <c r="B6" s="1" t="s">
        <v>397</v>
      </c>
      <c r="C6" s="1" t="s">
        <v>398</v>
      </c>
      <c r="D6" s="1" t="s">
        <v>399</v>
      </c>
      <c r="E6" s="1" t="s">
        <v>400</v>
      </c>
      <c r="F6" s="1" t="s">
        <v>401</v>
      </c>
      <c r="G6" s="1" t="s">
        <v>402</v>
      </c>
    </row>
    <row r="7" spans="1:7" ht="46" customHeight="1" x14ac:dyDescent="0.25">
      <c r="A7" s="7" t="s">
        <v>403</v>
      </c>
      <c r="B7" s="7" t="s">
        <v>404</v>
      </c>
      <c r="C7" s="7" t="s">
        <v>405</v>
      </c>
      <c r="D7" s="7" t="s">
        <v>406</v>
      </c>
      <c r="E7" s="7" t="s">
        <v>407</v>
      </c>
      <c r="F7" s="7" t="s">
        <v>408</v>
      </c>
      <c r="G7" s="7" t="s">
        <v>409</v>
      </c>
    </row>
    <row r="8" spans="1:7" ht="46" customHeight="1" x14ac:dyDescent="0.25">
      <c r="A8" s="1" t="s">
        <v>410</v>
      </c>
      <c r="B8" s="1" t="s">
        <v>411</v>
      </c>
      <c r="C8" s="1" t="s">
        <v>412</v>
      </c>
      <c r="D8" s="1" t="s">
        <v>413</v>
      </c>
      <c r="E8" s="1" t="s">
        <v>414</v>
      </c>
      <c r="F8" s="1" t="s">
        <v>415</v>
      </c>
      <c r="G8" s="1" t="s">
        <v>416</v>
      </c>
    </row>
    <row r="9" spans="1:7" ht="46" customHeight="1" x14ac:dyDescent="0.25">
      <c r="A9" s="7" t="s">
        <v>417</v>
      </c>
      <c r="B9" s="7" t="s">
        <v>418</v>
      </c>
      <c r="C9" s="7" t="s">
        <v>419</v>
      </c>
      <c r="D9" s="7" t="s">
        <v>420</v>
      </c>
      <c r="E9" s="7" t="s">
        <v>421</v>
      </c>
      <c r="F9" s="7" t="s">
        <v>422</v>
      </c>
      <c r="G9" s="7" t="s">
        <v>423</v>
      </c>
    </row>
    <row r="10" spans="1:7" ht="46" customHeight="1" x14ac:dyDescent="0.25">
      <c r="A10" s="1" t="s">
        <v>424</v>
      </c>
      <c r="B10" s="1" t="s">
        <v>425</v>
      </c>
      <c r="C10" s="1" t="s">
        <v>426</v>
      </c>
      <c r="D10" s="1" t="s">
        <v>427</v>
      </c>
      <c r="E10" s="1" t="s">
        <v>428</v>
      </c>
      <c r="F10" s="1" t="s">
        <v>429</v>
      </c>
      <c r="G10" s="1" t="s">
        <v>430</v>
      </c>
    </row>
    <row r="11" spans="1:7" ht="46" customHeight="1" x14ac:dyDescent="0.25">
      <c r="A11" s="7" t="s">
        <v>431</v>
      </c>
      <c r="B11" s="7" t="s">
        <v>432</v>
      </c>
      <c r="C11" s="7" t="s">
        <v>433</v>
      </c>
      <c r="D11" s="7" t="s">
        <v>434</v>
      </c>
      <c r="E11" s="7" t="s">
        <v>435</v>
      </c>
      <c r="F11" s="7" t="s">
        <v>436</v>
      </c>
      <c r="G11" s="7" t="s">
        <v>437</v>
      </c>
    </row>
    <row r="12" spans="1:7" ht="46" customHeight="1" x14ac:dyDescent="0.25">
      <c r="A12" s="1" t="s">
        <v>438</v>
      </c>
      <c r="B12" s="1" t="s">
        <v>439</v>
      </c>
      <c r="C12" s="1" t="s">
        <v>440</v>
      </c>
      <c r="D12" s="1" t="s">
        <v>441</v>
      </c>
      <c r="E12" s="1" t="s">
        <v>442</v>
      </c>
      <c r="F12" s="1" t="s">
        <v>443</v>
      </c>
      <c r="G12" s="1" t="s">
        <v>444</v>
      </c>
    </row>
    <row r="13" spans="1:7" ht="46" customHeight="1" x14ac:dyDescent="0.25">
      <c r="A13" s="7" t="s">
        <v>445</v>
      </c>
      <c r="B13" s="7" t="s">
        <v>446</v>
      </c>
      <c r="C13" s="7" t="s">
        <v>447</v>
      </c>
      <c r="D13" s="7" t="s">
        <v>448</v>
      </c>
      <c r="E13" s="7" t="s">
        <v>449</v>
      </c>
      <c r="F13" s="7" t="s">
        <v>450</v>
      </c>
      <c r="G13" s="7" t="s">
        <v>451</v>
      </c>
    </row>
    <row r="15" spans="1:7" ht="28" customHeight="1" x14ac:dyDescent="0.25">
      <c r="A15" s="26" t="s">
        <v>452</v>
      </c>
      <c r="B15" s="25"/>
      <c r="C15" s="25"/>
      <c r="D15" s="25"/>
      <c r="E15" s="25"/>
      <c r="F15" s="25"/>
      <c r="G15" s="25"/>
    </row>
    <row r="16" spans="1:7" ht="29" customHeight="1" x14ac:dyDescent="0.25">
      <c r="A16" s="6" t="s">
        <v>390</v>
      </c>
      <c r="B16" s="6" t="s">
        <v>453</v>
      </c>
      <c r="C16" s="6" t="s">
        <v>392</v>
      </c>
      <c r="D16" s="6" t="s">
        <v>454</v>
      </c>
      <c r="E16" s="6" t="s">
        <v>394</v>
      </c>
      <c r="F16" s="6" t="s">
        <v>455</v>
      </c>
      <c r="G16" s="6" t="s">
        <v>65</v>
      </c>
    </row>
    <row r="17" spans="1:7" ht="46" customHeight="1" x14ac:dyDescent="0.25">
      <c r="A17" s="1" t="s">
        <v>456</v>
      </c>
      <c r="B17" s="1" t="s">
        <v>457</v>
      </c>
      <c r="C17" s="1" t="s">
        <v>458</v>
      </c>
      <c r="D17" s="1" t="s">
        <v>459</v>
      </c>
      <c r="E17" s="1" t="s">
        <v>460</v>
      </c>
      <c r="F17" s="1" t="s">
        <v>461</v>
      </c>
      <c r="G17" s="1" t="s">
        <v>462</v>
      </c>
    </row>
    <row r="18" spans="1:7" ht="46" customHeight="1" x14ac:dyDescent="0.25">
      <c r="A18" s="7" t="s">
        <v>463</v>
      </c>
      <c r="B18" s="7" t="s">
        <v>464</v>
      </c>
      <c r="C18" s="7" t="s">
        <v>465</v>
      </c>
      <c r="D18" s="7" t="s">
        <v>466</v>
      </c>
      <c r="E18" s="7" t="s">
        <v>467</v>
      </c>
      <c r="F18" s="7" t="s">
        <v>468</v>
      </c>
      <c r="G18" s="7" t="s">
        <v>469</v>
      </c>
    </row>
    <row r="19" spans="1:7" ht="46" customHeight="1" x14ac:dyDescent="0.25">
      <c r="A19" s="1" t="s">
        <v>470</v>
      </c>
      <c r="B19" s="1" t="s">
        <v>471</v>
      </c>
      <c r="C19" s="1" t="s">
        <v>472</v>
      </c>
      <c r="D19" s="1" t="s">
        <v>473</v>
      </c>
      <c r="E19" s="1" t="s">
        <v>474</v>
      </c>
      <c r="F19" s="1" t="s">
        <v>475</v>
      </c>
      <c r="G19" s="1" t="s">
        <v>476</v>
      </c>
    </row>
    <row r="20" spans="1:7" ht="46" customHeight="1" x14ac:dyDescent="0.25">
      <c r="A20" s="7" t="s">
        <v>477</v>
      </c>
      <c r="B20" s="7" t="s">
        <v>478</v>
      </c>
      <c r="C20" s="7" t="s">
        <v>479</v>
      </c>
      <c r="D20" s="7" t="s">
        <v>480</v>
      </c>
      <c r="E20" s="7" t="s">
        <v>481</v>
      </c>
      <c r="F20" s="7" t="s">
        <v>482</v>
      </c>
      <c r="G20" s="7" t="s">
        <v>483</v>
      </c>
    </row>
    <row r="21" spans="1:7" ht="46" customHeight="1" x14ac:dyDescent="0.25">
      <c r="A21" s="1" t="s">
        <v>484</v>
      </c>
      <c r="B21" s="1" t="s">
        <v>485</v>
      </c>
      <c r="C21" s="1" t="s">
        <v>486</v>
      </c>
      <c r="D21" s="1" t="s">
        <v>487</v>
      </c>
      <c r="E21" s="1" t="s">
        <v>488</v>
      </c>
      <c r="F21" s="1" t="s">
        <v>489</v>
      </c>
      <c r="G21" s="1" t="s">
        <v>490</v>
      </c>
    </row>
    <row r="22" spans="1:7" ht="46" customHeight="1" x14ac:dyDescent="0.25">
      <c r="A22" s="7" t="s">
        <v>491</v>
      </c>
      <c r="B22" s="7" t="s">
        <v>492</v>
      </c>
      <c r="C22" s="7" t="s">
        <v>493</v>
      </c>
      <c r="D22" s="7" t="s">
        <v>494</v>
      </c>
      <c r="E22" s="7" t="s">
        <v>495</v>
      </c>
      <c r="F22" s="7" t="s">
        <v>496</v>
      </c>
      <c r="G22" s="7" t="s">
        <v>497</v>
      </c>
    </row>
    <row r="23" spans="1:7" ht="46" customHeight="1" x14ac:dyDescent="0.25">
      <c r="A23" s="1" t="s">
        <v>498</v>
      </c>
      <c r="B23" s="1" t="s">
        <v>499</v>
      </c>
      <c r="C23" s="1" t="s">
        <v>500</v>
      </c>
      <c r="D23" s="1" t="s">
        <v>501</v>
      </c>
      <c r="E23" s="1" t="s">
        <v>502</v>
      </c>
      <c r="F23" s="1" t="s">
        <v>503</v>
      </c>
      <c r="G23" s="1" t="s">
        <v>504</v>
      </c>
    </row>
    <row r="25" spans="1:7" ht="34" customHeight="1" x14ac:dyDescent="0.25">
      <c r="A25" s="28" t="s">
        <v>505</v>
      </c>
      <c r="B25" s="25"/>
      <c r="C25" s="25"/>
      <c r="D25" s="25"/>
      <c r="E25" s="25"/>
      <c r="F25" s="25"/>
      <c r="G25" s="25"/>
    </row>
  </sheetData>
  <mergeCells count="5">
    <mergeCell ref="A1:G1"/>
    <mergeCell ref="A4:G4"/>
    <mergeCell ref="A2:G2"/>
    <mergeCell ref="A15:G15"/>
    <mergeCell ref="A25:G25"/>
  </mergeCells>
  <phoneticPr fontId="13" type="noConversion"/>
  <printOptions horizontalCentered="1"/>
  <pageMargins left="0.25" right="0.25" top="0.35" bottom="0.35" header="0.5" footer="0.5"/>
  <pageSetup paperSize="8" fitToHeight="0" orientation="landscape"/>
  <headerFooter>
    <oddFooter>&amp;CPLEX · 12个月执行 / 24个月展望 · 规划目标≠已实现结果&amp;R&amp;P / &amp;N</oddFooter>
  </headerFooter>
  <rowBreaks count="1" manualBreakCount="1">
    <brk id="13" max="16383" man="1"/>
  </rowBreak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7F8C"/>
    <outlinePr summaryRight="0"/>
    <pageSetUpPr fitToPage="1"/>
  </sheetPr>
  <dimension ref="A1:H64"/>
  <sheetViews>
    <sheetView showGridLines="0" zoomScale="75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32" customWidth="1"/>
    <col min="2" max="4" width="19" customWidth="1"/>
    <col min="5" max="5" width="17" customWidth="1"/>
    <col min="6" max="6" width="22" customWidth="1"/>
    <col min="7" max="7" width="23" customWidth="1"/>
    <col min="8" max="8" width="26" customWidth="1"/>
  </cols>
  <sheetData>
    <row r="1" spans="1:8" ht="46" customHeight="1" x14ac:dyDescent="0.25">
      <c r="A1" s="24" t="s">
        <v>506</v>
      </c>
      <c r="B1" s="25"/>
      <c r="C1" s="25"/>
      <c r="D1" s="25"/>
      <c r="E1" s="25"/>
      <c r="F1" s="25"/>
      <c r="G1" s="25"/>
      <c r="H1" s="25"/>
    </row>
    <row r="2" spans="1:8" ht="36" customHeight="1" x14ac:dyDescent="0.25">
      <c r="A2" s="27" t="s">
        <v>507</v>
      </c>
      <c r="B2" s="25"/>
      <c r="C2" s="25"/>
      <c r="D2" s="25"/>
      <c r="E2" s="25"/>
      <c r="F2" s="25"/>
      <c r="G2" s="25"/>
      <c r="H2" s="25"/>
    </row>
    <row r="4" spans="1:8" ht="28" customHeight="1" x14ac:dyDescent="0.25">
      <c r="A4" s="26" t="s">
        <v>508</v>
      </c>
      <c r="B4" s="25"/>
      <c r="C4" s="25"/>
      <c r="D4" s="25"/>
      <c r="E4" s="25"/>
      <c r="F4" s="25"/>
      <c r="G4" s="25"/>
      <c r="H4" s="25"/>
    </row>
    <row r="5" spans="1:8" ht="14.5" x14ac:dyDescent="0.25">
      <c r="A5" s="32" t="s">
        <v>509</v>
      </c>
      <c r="B5" s="25"/>
      <c r="C5" s="32" t="s">
        <v>510</v>
      </c>
      <c r="D5" s="25"/>
      <c r="E5" s="32" t="s">
        <v>511</v>
      </c>
      <c r="F5" s="25"/>
      <c r="G5" s="32" t="s">
        <v>512</v>
      </c>
      <c r="H5" s="25"/>
    </row>
    <row r="6" spans="1:8" ht="56" customHeight="1" x14ac:dyDescent="0.25">
      <c r="A6" s="31" t="s">
        <v>513</v>
      </c>
      <c r="B6" s="25"/>
      <c r="C6" s="31" t="s">
        <v>514</v>
      </c>
      <c r="D6" s="25"/>
      <c r="E6" s="31" t="s">
        <v>515</v>
      </c>
      <c r="F6" s="25"/>
      <c r="G6" s="31" t="s">
        <v>516</v>
      </c>
      <c r="H6" s="25"/>
    </row>
    <row r="7" spans="1:8" ht="56" customHeight="1" x14ac:dyDescent="0.25">
      <c r="A7" s="34" t="s">
        <v>517</v>
      </c>
      <c r="B7" s="25"/>
      <c r="C7" s="34" t="s">
        <v>518</v>
      </c>
      <c r="D7" s="25"/>
      <c r="E7" s="34" t="s">
        <v>519</v>
      </c>
      <c r="F7" s="25"/>
      <c r="G7" s="34" t="s">
        <v>520</v>
      </c>
      <c r="H7" s="25"/>
    </row>
    <row r="8" spans="1:8" ht="56" customHeight="1" x14ac:dyDescent="0.25">
      <c r="A8" s="31" t="s">
        <v>521</v>
      </c>
      <c r="B8" s="25"/>
      <c r="C8" s="31" t="s">
        <v>522</v>
      </c>
      <c r="D8" s="25"/>
      <c r="E8" s="31" t="s">
        <v>523</v>
      </c>
      <c r="F8" s="25"/>
      <c r="G8" s="31" t="s">
        <v>524</v>
      </c>
      <c r="H8" s="25"/>
    </row>
    <row r="9" spans="1:8" ht="56" customHeight="1" x14ac:dyDescent="0.25">
      <c r="A9" s="34" t="s">
        <v>525</v>
      </c>
      <c r="B9" s="25"/>
      <c r="C9" s="34" t="s">
        <v>526</v>
      </c>
      <c r="D9" s="25"/>
      <c r="E9" s="34" t="s">
        <v>527</v>
      </c>
      <c r="F9" s="25"/>
      <c r="G9" s="34" t="s">
        <v>528</v>
      </c>
      <c r="H9" s="25"/>
    </row>
    <row r="11" spans="1:8" ht="28" customHeight="1" x14ac:dyDescent="0.25">
      <c r="A11" s="26" t="s">
        <v>529</v>
      </c>
      <c r="B11" s="25"/>
      <c r="C11" s="25"/>
      <c r="D11" s="25"/>
      <c r="E11" s="25"/>
      <c r="F11" s="25"/>
      <c r="G11" s="25"/>
      <c r="H11" s="25"/>
    </row>
    <row r="12" spans="1:8" ht="29" customHeight="1" x14ac:dyDescent="0.25">
      <c r="A12" s="6" t="s">
        <v>530</v>
      </c>
      <c r="B12" s="6" t="s">
        <v>531</v>
      </c>
      <c r="C12" s="6" t="s">
        <v>532</v>
      </c>
      <c r="D12" s="6" t="s">
        <v>533</v>
      </c>
      <c r="E12" s="6" t="s">
        <v>534</v>
      </c>
      <c r="F12" s="35" t="s">
        <v>535</v>
      </c>
      <c r="G12" s="25"/>
      <c r="H12" s="25"/>
    </row>
    <row r="13" spans="1:8" ht="34" customHeight="1" x14ac:dyDescent="0.25">
      <c r="A13" s="1" t="s">
        <v>536</v>
      </c>
      <c r="B13" s="12">
        <v>12</v>
      </c>
      <c r="C13" s="12">
        <v>12</v>
      </c>
      <c r="D13" s="12">
        <v>12</v>
      </c>
      <c r="E13" s="1" t="s">
        <v>537</v>
      </c>
      <c r="F13" s="29" t="s">
        <v>538</v>
      </c>
      <c r="G13" s="30"/>
      <c r="H13" s="30"/>
    </row>
    <row r="14" spans="1:8" ht="34" customHeight="1" x14ac:dyDescent="0.25">
      <c r="A14" s="1" t="s">
        <v>539</v>
      </c>
      <c r="B14" s="13">
        <v>99</v>
      </c>
      <c r="C14" s="13">
        <v>99</v>
      </c>
      <c r="D14" s="13">
        <v>99</v>
      </c>
      <c r="E14" s="1" t="s">
        <v>540</v>
      </c>
      <c r="F14" s="29" t="s">
        <v>541</v>
      </c>
      <c r="G14" s="30"/>
      <c r="H14" s="30"/>
    </row>
    <row r="15" spans="1:8" ht="34" customHeight="1" x14ac:dyDescent="0.25">
      <c r="A15" s="1" t="s">
        <v>542</v>
      </c>
      <c r="B15" s="14">
        <v>0.5</v>
      </c>
      <c r="C15" s="14">
        <v>0.5</v>
      </c>
      <c r="D15" s="14">
        <v>0.5</v>
      </c>
      <c r="E15" s="1" t="s">
        <v>543</v>
      </c>
      <c r="F15" s="29" t="s">
        <v>544</v>
      </c>
      <c r="G15" s="30"/>
      <c r="H15" s="30"/>
    </row>
    <row r="16" spans="1:8" ht="34" customHeight="1" x14ac:dyDescent="0.25">
      <c r="A16" s="1" t="s">
        <v>545</v>
      </c>
      <c r="B16" s="12">
        <v>30</v>
      </c>
      <c r="C16" s="12">
        <v>60</v>
      </c>
      <c r="D16" s="12">
        <v>100</v>
      </c>
      <c r="E16" s="1" t="s">
        <v>546</v>
      </c>
      <c r="F16" s="29" t="s">
        <v>547</v>
      </c>
      <c r="G16" s="30"/>
      <c r="H16" s="30"/>
    </row>
    <row r="17" spans="1:8" ht="34" customHeight="1" x14ac:dyDescent="0.25">
      <c r="A17" s="1" t="s">
        <v>548</v>
      </c>
      <c r="B17" s="12">
        <v>20</v>
      </c>
      <c r="C17" s="12">
        <v>40</v>
      </c>
      <c r="D17" s="12">
        <v>80</v>
      </c>
      <c r="E17" s="1" t="s">
        <v>546</v>
      </c>
      <c r="F17" s="29" t="s">
        <v>549</v>
      </c>
      <c r="G17" s="30"/>
      <c r="H17" s="30"/>
    </row>
    <row r="18" spans="1:8" ht="34" customHeight="1" x14ac:dyDescent="0.25">
      <c r="A18" s="1" t="s">
        <v>550</v>
      </c>
      <c r="B18" s="12">
        <v>1</v>
      </c>
      <c r="C18" s="12">
        <v>2</v>
      </c>
      <c r="D18" s="12">
        <v>3</v>
      </c>
      <c r="E18" s="1" t="s">
        <v>551</v>
      </c>
      <c r="F18" s="29" t="s">
        <v>552</v>
      </c>
      <c r="G18" s="30"/>
      <c r="H18" s="30"/>
    </row>
    <row r="19" spans="1:8" ht="34" customHeight="1" x14ac:dyDescent="0.25">
      <c r="A19" s="1" t="s">
        <v>553</v>
      </c>
      <c r="B19" s="13">
        <v>1500</v>
      </c>
      <c r="C19" s="13">
        <v>2000</v>
      </c>
      <c r="D19" s="13">
        <v>2500</v>
      </c>
      <c r="E19" s="1" t="s">
        <v>554</v>
      </c>
      <c r="F19" s="29" t="s">
        <v>555</v>
      </c>
      <c r="G19" s="30"/>
      <c r="H19" s="30"/>
    </row>
    <row r="20" spans="1:8" ht="34" customHeight="1" x14ac:dyDescent="0.25">
      <c r="A20" s="1" t="s">
        <v>556</v>
      </c>
      <c r="B20" s="12">
        <v>40</v>
      </c>
      <c r="C20" s="12">
        <v>40</v>
      </c>
      <c r="D20" s="12">
        <v>40</v>
      </c>
      <c r="E20" s="1" t="s">
        <v>557</v>
      </c>
      <c r="F20" s="29" t="s">
        <v>558</v>
      </c>
      <c r="G20" s="30"/>
      <c r="H20" s="30"/>
    </row>
    <row r="21" spans="1:8" ht="34" customHeight="1" x14ac:dyDescent="0.25">
      <c r="A21" s="1" t="s">
        <v>559</v>
      </c>
      <c r="B21" s="14">
        <v>0.05</v>
      </c>
      <c r="C21" s="14">
        <v>0.05</v>
      </c>
      <c r="D21" s="14">
        <v>0.05</v>
      </c>
      <c r="E21" s="1" t="s">
        <v>543</v>
      </c>
      <c r="F21" s="29" t="s">
        <v>560</v>
      </c>
      <c r="G21" s="30"/>
      <c r="H21" s="30"/>
    </row>
    <row r="22" spans="1:8" ht="34" customHeight="1" x14ac:dyDescent="0.25">
      <c r="A22" s="1" t="s">
        <v>561</v>
      </c>
      <c r="B22" s="14">
        <v>6.0000000000000001E-3</v>
      </c>
      <c r="C22" s="14">
        <v>6.0000000000000001E-3</v>
      </c>
      <c r="D22" s="14">
        <v>6.0000000000000001E-3</v>
      </c>
      <c r="E22" s="1" t="s">
        <v>543</v>
      </c>
      <c r="F22" s="29" t="s">
        <v>562</v>
      </c>
      <c r="G22" s="30"/>
      <c r="H22" s="30"/>
    </row>
    <row r="23" spans="1:8" ht="34" customHeight="1" x14ac:dyDescent="0.25">
      <c r="A23" s="1" t="s">
        <v>563</v>
      </c>
      <c r="B23" s="13">
        <v>12</v>
      </c>
      <c r="C23" s="13">
        <v>12</v>
      </c>
      <c r="D23" s="13">
        <v>15</v>
      </c>
      <c r="E23" s="1" t="s">
        <v>540</v>
      </c>
      <c r="F23" s="29" t="s">
        <v>564</v>
      </c>
      <c r="G23" s="30"/>
      <c r="H23" s="30"/>
    </row>
    <row r="24" spans="1:8" ht="34" customHeight="1" x14ac:dyDescent="0.25">
      <c r="A24" s="1" t="s">
        <v>565</v>
      </c>
      <c r="B24" s="13">
        <v>500</v>
      </c>
      <c r="C24" s="13">
        <v>500</v>
      </c>
      <c r="D24" s="13">
        <v>800</v>
      </c>
      <c r="E24" s="1" t="s">
        <v>566</v>
      </c>
      <c r="F24" s="29" t="s">
        <v>567</v>
      </c>
      <c r="G24" s="30"/>
      <c r="H24" s="30"/>
    </row>
    <row r="25" spans="1:8" ht="34" customHeight="1" x14ac:dyDescent="0.25">
      <c r="A25" s="1" t="s">
        <v>568</v>
      </c>
      <c r="B25" s="12">
        <v>1</v>
      </c>
      <c r="C25" s="12">
        <v>10</v>
      </c>
      <c r="D25" s="12">
        <v>10</v>
      </c>
      <c r="E25" s="1" t="s">
        <v>569</v>
      </c>
      <c r="F25" s="29" t="s">
        <v>570</v>
      </c>
      <c r="G25" s="30"/>
      <c r="H25" s="30"/>
    </row>
    <row r="26" spans="1:8" ht="34" customHeight="1" x14ac:dyDescent="0.25">
      <c r="A26" s="1" t="s">
        <v>571</v>
      </c>
      <c r="B26" s="13">
        <v>234</v>
      </c>
      <c r="C26" s="13">
        <v>234</v>
      </c>
      <c r="D26" s="13">
        <v>234</v>
      </c>
      <c r="E26" s="1" t="s">
        <v>572</v>
      </c>
      <c r="F26" s="29" t="s">
        <v>573</v>
      </c>
      <c r="G26" s="30"/>
      <c r="H26" s="30"/>
    </row>
    <row r="27" spans="1:8" ht="34" customHeight="1" x14ac:dyDescent="0.25">
      <c r="A27" s="1" t="s">
        <v>574</v>
      </c>
      <c r="B27" s="13">
        <v>766</v>
      </c>
      <c r="C27" s="13">
        <v>1660</v>
      </c>
      <c r="D27" s="13">
        <v>2660</v>
      </c>
      <c r="E27" s="1" t="s">
        <v>575</v>
      </c>
      <c r="F27" s="29" t="s">
        <v>576</v>
      </c>
      <c r="G27" s="30"/>
      <c r="H27" s="30"/>
    </row>
    <row r="28" spans="1:8" ht="34" customHeight="1" x14ac:dyDescent="0.25">
      <c r="A28" s="1" t="s">
        <v>577</v>
      </c>
      <c r="B28" s="13">
        <v>1000</v>
      </c>
      <c r="C28" s="13">
        <v>2000</v>
      </c>
      <c r="D28" s="13">
        <v>4000</v>
      </c>
      <c r="E28" s="1" t="s">
        <v>575</v>
      </c>
      <c r="F28" s="29" t="s">
        <v>578</v>
      </c>
      <c r="G28" s="30"/>
      <c r="H28" s="30"/>
    </row>
    <row r="29" spans="1:8" ht="34" customHeight="1" x14ac:dyDescent="0.25">
      <c r="A29" s="1" t="s">
        <v>579</v>
      </c>
      <c r="B29" s="13">
        <v>500</v>
      </c>
      <c r="C29" s="13">
        <v>1000</v>
      </c>
      <c r="D29" s="13">
        <v>2000</v>
      </c>
      <c r="E29" s="1" t="s">
        <v>575</v>
      </c>
      <c r="F29" s="29" t="s">
        <v>580</v>
      </c>
      <c r="G29" s="30"/>
      <c r="H29" s="30"/>
    </row>
    <row r="30" spans="1:8" ht="34" customHeight="1" x14ac:dyDescent="0.25">
      <c r="A30" s="1" t="s">
        <v>581</v>
      </c>
      <c r="B30" s="12">
        <v>10</v>
      </c>
      <c r="C30" s="12">
        <v>20</v>
      </c>
      <c r="D30" s="12">
        <v>30</v>
      </c>
      <c r="E30" s="1" t="s">
        <v>546</v>
      </c>
      <c r="F30" s="29" t="s">
        <v>582</v>
      </c>
      <c r="G30" s="30"/>
      <c r="H30" s="30"/>
    </row>
    <row r="31" spans="1:8" ht="34" customHeight="1" x14ac:dyDescent="0.25">
      <c r="A31" s="1" t="s">
        <v>583</v>
      </c>
      <c r="B31" s="12">
        <v>240</v>
      </c>
      <c r="C31" s="12">
        <v>480</v>
      </c>
      <c r="D31" s="12">
        <v>720</v>
      </c>
      <c r="E31" s="1" t="s">
        <v>584</v>
      </c>
      <c r="F31" s="29" t="s">
        <v>585</v>
      </c>
      <c r="G31" s="30"/>
      <c r="H31" s="30"/>
    </row>
    <row r="32" spans="1:8" ht="34" customHeight="1" x14ac:dyDescent="0.25">
      <c r="A32" s="1" t="s">
        <v>586</v>
      </c>
      <c r="B32" s="13">
        <v>40</v>
      </c>
      <c r="C32" s="13">
        <v>40</v>
      </c>
      <c r="D32" s="13">
        <v>40</v>
      </c>
      <c r="E32" s="1" t="s">
        <v>587</v>
      </c>
      <c r="F32" s="29" t="s">
        <v>588</v>
      </c>
      <c r="G32" s="30"/>
      <c r="H32" s="30"/>
    </row>
    <row r="33" spans="1:8" ht="34" customHeight="1" x14ac:dyDescent="0.25">
      <c r="A33" s="1" t="s">
        <v>589</v>
      </c>
      <c r="B33" s="15">
        <f>'01目标路线'!B9</f>
        <v>1000</v>
      </c>
      <c r="C33" s="15">
        <f>'01目标路线'!B9</f>
        <v>1000</v>
      </c>
      <c r="D33" s="15">
        <f>'01目标路线'!B9</f>
        <v>1000</v>
      </c>
      <c r="E33" s="1" t="s">
        <v>575</v>
      </c>
      <c r="F33" s="29" t="s">
        <v>590</v>
      </c>
      <c r="G33" s="30"/>
      <c r="H33" s="30"/>
    </row>
    <row r="34" spans="1:8" ht="34" customHeight="1" x14ac:dyDescent="0.25">
      <c r="A34" s="1" t="s">
        <v>591</v>
      </c>
      <c r="B34" s="13">
        <v>10000</v>
      </c>
      <c r="C34" s="13">
        <v>10000</v>
      </c>
      <c r="D34" s="13">
        <v>10000</v>
      </c>
      <c r="E34" s="1" t="s">
        <v>575</v>
      </c>
      <c r="F34" s="29" t="s">
        <v>592</v>
      </c>
      <c r="G34" s="30"/>
      <c r="H34" s="30"/>
    </row>
    <row r="36" spans="1:8" ht="28" customHeight="1" x14ac:dyDescent="0.25">
      <c r="A36" s="26" t="s">
        <v>593</v>
      </c>
      <c r="B36" s="25"/>
      <c r="C36" s="25"/>
      <c r="D36" s="25"/>
      <c r="E36" s="25"/>
      <c r="F36" s="25"/>
      <c r="G36" s="25"/>
      <c r="H36" s="25"/>
    </row>
    <row r="37" spans="1:8" ht="29" customHeight="1" x14ac:dyDescent="0.25">
      <c r="A37" s="6" t="s">
        <v>594</v>
      </c>
      <c r="B37" s="6" t="s">
        <v>531</v>
      </c>
      <c r="C37" s="6" t="s">
        <v>532</v>
      </c>
      <c r="D37" s="6" t="s">
        <v>533</v>
      </c>
      <c r="E37" s="6" t="s">
        <v>534</v>
      </c>
      <c r="F37" s="35" t="s">
        <v>595</v>
      </c>
      <c r="G37" s="25"/>
      <c r="H37" s="25"/>
    </row>
    <row r="38" spans="1:8" ht="34" customHeight="1" x14ac:dyDescent="0.25">
      <c r="A38" s="1" t="s">
        <v>596</v>
      </c>
      <c r="B38" s="16">
        <f>SUM(B16:B17)</f>
        <v>50</v>
      </c>
      <c r="C38" s="16">
        <f>SUM(C16:C17)</f>
        <v>100</v>
      </c>
      <c r="D38" s="16">
        <f>SUM(D16:D17)</f>
        <v>180</v>
      </c>
      <c r="E38" s="1" t="s">
        <v>546</v>
      </c>
      <c r="F38" s="29" t="s">
        <v>597</v>
      </c>
      <c r="G38" s="30"/>
      <c r="H38" s="30"/>
    </row>
    <row r="39" spans="1:8" ht="34" customHeight="1" x14ac:dyDescent="0.25">
      <c r="A39" s="1" t="s">
        <v>598</v>
      </c>
      <c r="B39" s="16">
        <f>B38+B18*B20+B30</f>
        <v>100</v>
      </c>
      <c r="C39" s="16">
        <f>C38+C18*C20+C30</f>
        <v>200</v>
      </c>
      <c r="D39" s="16">
        <f>D38+D18*D20+D30</f>
        <v>330</v>
      </c>
      <c r="E39" s="1" t="s">
        <v>546</v>
      </c>
      <c r="F39" s="29" t="s">
        <v>599</v>
      </c>
      <c r="G39" s="30"/>
      <c r="H39" s="30"/>
    </row>
    <row r="40" spans="1:8" ht="34" customHeight="1" x14ac:dyDescent="0.25">
      <c r="A40" s="1" t="s">
        <v>600</v>
      </c>
      <c r="B40" s="17">
        <f>B14*B16+B14*B15*B17</f>
        <v>3960</v>
      </c>
      <c r="C40" s="17">
        <f>C14*C16+C14*C15*C17</f>
        <v>7920</v>
      </c>
      <c r="D40" s="17">
        <f>D14*D16+D14*D15*D17</f>
        <v>13860</v>
      </c>
      <c r="E40" s="1" t="s">
        <v>575</v>
      </c>
      <c r="F40" s="29" t="s">
        <v>601</v>
      </c>
      <c r="G40" s="30"/>
      <c r="H40" s="30"/>
    </row>
    <row r="41" spans="1:8" ht="34" customHeight="1" x14ac:dyDescent="0.25">
      <c r="A41" s="1" t="s">
        <v>602</v>
      </c>
      <c r="B41" s="17">
        <f>B18*B19</f>
        <v>1500</v>
      </c>
      <c r="C41" s="17">
        <f>C18*C19</f>
        <v>4000</v>
      </c>
      <c r="D41" s="17">
        <f>D18*D19</f>
        <v>7500</v>
      </c>
      <c r="E41" s="1" t="s">
        <v>575</v>
      </c>
      <c r="F41" s="29" t="s">
        <v>603</v>
      </c>
      <c r="G41" s="30"/>
      <c r="H41" s="30"/>
    </row>
    <row r="42" spans="1:8" ht="34" customHeight="1" x14ac:dyDescent="0.25">
      <c r="A42" s="1" t="s">
        <v>604</v>
      </c>
      <c r="B42" s="17">
        <f>SUM(B40:B41)</f>
        <v>5460</v>
      </c>
      <c r="C42" s="17">
        <f>SUM(C40:C41)</f>
        <v>11920</v>
      </c>
      <c r="D42" s="17">
        <f>SUM(D40:D41)</f>
        <v>21360</v>
      </c>
      <c r="E42" s="1" t="s">
        <v>575</v>
      </c>
      <c r="F42" s="29" t="s">
        <v>605</v>
      </c>
      <c r="G42" s="30"/>
      <c r="H42" s="30"/>
    </row>
    <row r="43" spans="1:8" ht="34" customHeight="1" x14ac:dyDescent="0.25">
      <c r="A43" s="1" t="s">
        <v>606</v>
      </c>
      <c r="B43" s="17">
        <f>B42*B21</f>
        <v>273</v>
      </c>
      <c r="C43" s="17">
        <f>C42*C21</f>
        <v>596</v>
      </c>
      <c r="D43" s="17">
        <f>D42*D21</f>
        <v>1068</v>
      </c>
      <c r="E43" s="1" t="s">
        <v>575</v>
      </c>
      <c r="F43" s="29" t="s">
        <v>607</v>
      </c>
      <c r="G43" s="30"/>
      <c r="H43" s="30"/>
    </row>
    <row r="44" spans="1:8" ht="34" customHeight="1" x14ac:dyDescent="0.25">
      <c r="A44" s="1" t="s">
        <v>608</v>
      </c>
      <c r="B44" s="18">
        <f>B42-B43</f>
        <v>5187</v>
      </c>
      <c r="C44" s="18">
        <f>C42-C43</f>
        <v>11324</v>
      </c>
      <c r="D44" s="18">
        <f>D42-D43</f>
        <v>20292</v>
      </c>
      <c r="E44" s="1" t="s">
        <v>575</v>
      </c>
      <c r="F44" s="29" t="s">
        <v>609</v>
      </c>
      <c r="G44" s="30"/>
      <c r="H44" s="30"/>
    </row>
    <row r="45" spans="1:8" ht="34" customHeight="1" x14ac:dyDescent="0.25">
      <c r="A45" s="1" t="s">
        <v>610</v>
      </c>
      <c r="B45" s="17">
        <f>B42*B22</f>
        <v>32.76</v>
      </c>
      <c r="C45" s="17">
        <f>C42*C22</f>
        <v>71.52</v>
      </c>
      <c r="D45" s="17">
        <f>D42*D22</f>
        <v>128.16</v>
      </c>
      <c r="E45" s="1" t="s">
        <v>575</v>
      </c>
      <c r="F45" s="29" t="s">
        <v>611</v>
      </c>
      <c r="G45" s="30"/>
      <c r="H45" s="30"/>
    </row>
    <row r="46" spans="1:8" ht="34" customHeight="1" x14ac:dyDescent="0.25">
      <c r="A46" s="1" t="s">
        <v>612</v>
      </c>
      <c r="B46" s="17">
        <f>B39*B23</f>
        <v>1200</v>
      </c>
      <c r="C46" s="17">
        <f>C39*C23</f>
        <v>2400</v>
      </c>
      <c r="D46" s="17">
        <f>D39*D23</f>
        <v>4950</v>
      </c>
      <c r="E46" s="1" t="s">
        <v>575</v>
      </c>
      <c r="F46" s="29" t="s">
        <v>613</v>
      </c>
      <c r="G46" s="30"/>
      <c r="H46" s="30"/>
    </row>
    <row r="47" spans="1:8" ht="34" customHeight="1" x14ac:dyDescent="0.25">
      <c r="A47" s="1" t="s">
        <v>614</v>
      </c>
      <c r="B47" s="18">
        <f>B44-B45-B46</f>
        <v>3954.24</v>
      </c>
      <c r="C47" s="18">
        <f>C44-C45-C46</f>
        <v>8852.48</v>
      </c>
      <c r="D47" s="18">
        <f>D44-D45-D46</f>
        <v>15213.84</v>
      </c>
      <c r="E47" s="1" t="s">
        <v>575</v>
      </c>
      <c r="F47" s="29" t="s">
        <v>615</v>
      </c>
      <c r="G47" s="30"/>
      <c r="H47" s="30"/>
    </row>
    <row r="48" spans="1:8" ht="34" customHeight="1" x14ac:dyDescent="0.25">
      <c r="A48" s="1" t="s">
        <v>616</v>
      </c>
      <c r="B48" s="19">
        <f>IFERROR(B47/B44,0)</f>
        <v>0.76233661075766335</v>
      </c>
      <c r="C48" s="19">
        <f>IFERROR(C47/C44,0)</f>
        <v>0.78174496644295299</v>
      </c>
      <c r="D48" s="19">
        <f>IFERROR(D47/D44,0)</f>
        <v>0.74974571259609701</v>
      </c>
      <c r="E48" s="1" t="s">
        <v>543</v>
      </c>
      <c r="F48" s="29" t="s">
        <v>617</v>
      </c>
      <c r="G48" s="30"/>
      <c r="H48" s="30"/>
    </row>
    <row r="49" spans="1:8" ht="34" customHeight="1" x14ac:dyDescent="0.25">
      <c r="A49" s="1" t="s">
        <v>618</v>
      </c>
      <c r="B49" s="17">
        <f>B13*B24</f>
        <v>6000</v>
      </c>
      <c r="C49" s="17">
        <f>C13*C24</f>
        <v>6000</v>
      </c>
      <c r="D49" s="17">
        <f>D13*D24</f>
        <v>9600</v>
      </c>
      <c r="E49" s="1" t="s">
        <v>575</v>
      </c>
      <c r="F49" s="29" t="s">
        <v>619</v>
      </c>
      <c r="G49" s="30"/>
      <c r="H49" s="30"/>
    </row>
    <row r="50" spans="1:8" ht="34" customHeight="1" x14ac:dyDescent="0.25">
      <c r="A50" s="1" t="s">
        <v>620</v>
      </c>
      <c r="B50" s="17">
        <f>B25*B26+B27</f>
        <v>1000</v>
      </c>
      <c r="C50" s="17">
        <f>C25*C26+C27</f>
        <v>4000</v>
      </c>
      <c r="D50" s="17">
        <f>D25*D26+D27</f>
        <v>5000</v>
      </c>
      <c r="E50" s="1" t="s">
        <v>575</v>
      </c>
      <c r="F50" s="29" t="s">
        <v>621</v>
      </c>
      <c r="G50" s="30"/>
      <c r="H50" s="30"/>
    </row>
    <row r="51" spans="1:8" ht="34" customHeight="1" x14ac:dyDescent="0.25">
      <c r="A51" s="1" t="s">
        <v>622</v>
      </c>
      <c r="B51" s="17">
        <f>B28+B29</f>
        <v>1500</v>
      </c>
      <c r="C51" s="17">
        <f>C28+C29</f>
        <v>3000</v>
      </c>
      <c r="D51" s="17">
        <f>D28+D29</f>
        <v>6000</v>
      </c>
      <c r="E51" s="1" t="s">
        <v>575</v>
      </c>
      <c r="F51" s="29" t="s">
        <v>623</v>
      </c>
      <c r="G51" s="30"/>
      <c r="H51" s="30"/>
    </row>
    <row r="52" spans="1:8" ht="34" customHeight="1" x14ac:dyDescent="0.25">
      <c r="A52" s="1" t="s">
        <v>624</v>
      </c>
      <c r="B52" s="18">
        <f>B47-SUM(B49:B51)</f>
        <v>-4545.76</v>
      </c>
      <c r="C52" s="18">
        <f>C47-SUM(C49:C51)</f>
        <v>-4147.5200000000004</v>
      </c>
      <c r="D52" s="18">
        <f>D47-SUM(D49:D51)</f>
        <v>-5386.16</v>
      </c>
      <c r="E52" s="1" t="s">
        <v>575</v>
      </c>
      <c r="F52" s="29" t="s">
        <v>625</v>
      </c>
      <c r="G52" s="30"/>
      <c r="H52" s="30"/>
    </row>
    <row r="53" spans="1:8" ht="34" customHeight="1" x14ac:dyDescent="0.25">
      <c r="A53" s="1" t="s">
        <v>626</v>
      </c>
      <c r="B53" s="17">
        <f>B31*B32</f>
        <v>9600</v>
      </c>
      <c r="C53" s="17">
        <f>C31*C32</f>
        <v>19200</v>
      </c>
      <c r="D53" s="17">
        <f>D31*D32</f>
        <v>28800</v>
      </c>
      <c r="E53" s="1" t="s">
        <v>575</v>
      </c>
      <c r="F53" s="29" t="s">
        <v>627</v>
      </c>
      <c r="G53" s="30"/>
      <c r="H53" s="30"/>
    </row>
    <row r="54" spans="1:8" ht="34" customHeight="1" x14ac:dyDescent="0.25">
      <c r="A54" s="1" t="s">
        <v>628</v>
      </c>
      <c r="B54" s="18">
        <f>B52-B53</f>
        <v>-14145.76</v>
      </c>
      <c r="C54" s="18">
        <f>C52-C53</f>
        <v>-23347.52</v>
      </c>
      <c r="D54" s="18">
        <f>D52-D53</f>
        <v>-34186.160000000003</v>
      </c>
      <c r="E54" s="1" t="s">
        <v>575</v>
      </c>
      <c r="F54" s="29" t="s">
        <v>629</v>
      </c>
      <c r="G54" s="30"/>
      <c r="H54" s="30"/>
    </row>
    <row r="55" spans="1:8" ht="34" customHeight="1" x14ac:dyDescent="0.25">
      <c r="A55" s="1" t="s">
        <v>630</v>
      </c>
      <c r="B55" s="17">
        <f>B14*(1-B15)*B17</f>
        <v>990</v>
      </c>
      <c r="C55" s="17">
        <f>C14*(1-C15)*C17</f>
        <v>1980</v>
      </c>
      <c r="D55" s="17">
        <f>D14*(1-D15)*D17</f>
        <v>3960</v>
      </c>
      <c r="E55" s="1" t="s">
        <v>575</v>
      </c>
      <c r="F55" s="29" t="s">
        <v>631</v>
      </c>
      <c r="G55" s="30"/>
      <c r="H55" s="30"/>
    </row>
    <row r="56" spans="1:8" ht="34" customHeight="1" x14ac:dyDescent="0.25">
      <c r="A56" s="1" t="s">
        <v>632</v>
      </c>
      <c r="B56" s="17">
        <f>B14*B30</f>
        <v>990</v>
      </c>
      <c r="C56" s="17">
        <f>C14*C30</f>
        <v>1980</v>
      </c>
      <c r="D56" s="17">
        <f>D14*D30</f>
        <v>2970</v>
      </c>
      <c r="E56" s="1" t="s">
        <v>575</v>
      </c>
      <c r="F56" s="29" t="s">
        <v>633</v>
      </c>
      <c r="G56" s="30"/>
      <c r="H56" s="30"/>
    </row>
    <row r="57" spans="1:8" ht="34" customHeight="1" x14ac:dyDescent="0.25">
      <c r="A57" s="1" t="s">
        <v>634</v>
      </c>
      <c r="B57" s="17">
        <f>(B17+B30)*B23</f>
        <v>360</v>
      </c>
      <c r="C57" s="17">
        <f>(C17+C30)*C23</f>
        <v>720</v>
      </c>
      <c r="D57" s="17">
        <f>(D17+D30)*D23</f>
        <v>1650</v>
      </c>
      <c r="E57" s="1" t="s">
        <v>575</v>
      </c>
      <c r="F57" s="29" t="s">
        <v>635</v>
      </c>
      <c r="G57" s="30"/>
      <c r="H57" s="30"/>
    </row>
    <row r="58" spans="1:8" ht="34" customHeight="1" x14ac:dyDescent="0.25">
      <c r="A58" s="1" t="s">
        <v>636</v>
      </c>
      <c r="B58" s="18">
        <f>B33+B44</f>
        <v>6187</v>
      </c>
      <c r="C58" s="18">
        <f>C33+C44</f>
        <v>12324</v>
      </c>
      <c r="D58" s="18">
        <f>D33+D44</f>
        <v>21292</v>
      </c>
      <c r="E58" s="1" t="s">
        <v>575</v>
      </c>
      <c r="F58" s="29" t="s">
        <v>637</v>
      </c>
      <c r="G58" s="30"/>
      <c r="H58" s="30"/>
    </row>
    <row r="59" spans="1:8" ht="34" customHeight="1" x14ac:dyDescent="0.25">
      <c r="A59" s="1" t="s">
        <v>638</v>
      </c>
      <c r="B59" s="18">
        <f>MAX(0,B34-B58)</f>
        <v>3813</v>
      </c>
      <c r="C59" s="18">
        <f>MAX(0,C34-C58)</f>
        <v>0</v>
      </c>
      <c r="D59" s="18">
        <f>MAX(0,D34-D58)</f>
        <v>0</v>
      </c>
      <c r="E59" s="1" t="s">
        <v>575</v>
      </c>
      <c r="F59" s="29" t="s">
        <v>639</v>
      </c>
      <c r="G59" s="30"/>
      <c r="H59" s="30"/>
    </row>
    <row r="60" spans="1:8" ht="34" customHeight="1" x14ac:dyDescent="0.25">
      <c r="A60" s="1" t="s">
        <v>640</v>
      </c>
      <c r="B60" s="17">
        <f>IFERROR((B40*(1-B21-B22))/B38-B23,0)</f>
        <v>62.764799999999994</v>
      </c>
      <c r="C60" s="17">
        <f>IFERROR((C40*(1-C21-C22))/C38-C23,0)</f>
        <v>62.764799999999994</v>
      </c>
      <c r="D60" s="17">
        <f>IFERROR((D40*(1-D21-D22))/D38-D23,0)</f>
        <v>57.688000000000002</v>
      </c>
      <c r="E60" s="1" t="s">
        <v>540</v>
      </c>
      <c r="F60" s="29" t="s">
        <v>641</v>
      </c>
      <c r="G60" s="30"/>
      <c r="H60" s="30"/>
    </row>
    <row r="61" spans="1:8" ht="34" customHeight="1" x14ac:dyDescent="0.25">
      <c r="A61" s="1" t="s">
        <v>642</v>
      </c>
      <c r="B61" s="20">
        <f>IF(B60&gt;0,ROUNDUP(MAX(0,-B52)/B60,0),"无法估算")</f>
        <v>73</v>
      </c>
      <c r="C61" s="20">
        <f>IF(C60&gt;0,ROUNDUP(MAX(0,-C52)/C60,0),"无法估算")</f>
        <v>67</v>
      </c>
      <c r="D61" s="20">
        <f>IF(D60&gt;0,ROUNDUP(MAX(0,-D52)/D60,0),"无法估算")</f>
        <v>94</v>
      </c>
      <c r="E61" s="1" t="s">
        <v>546</v>
      </c>
      <c r="F61" s="29" t="s">
        <v>643</v>
      </c>
      <c r="G61" s="30"/>
      <c r="H61" s="30"/>
    </row>
    <row r="63" spans="1:8" ht="34" customHeight="1" x14ac:dyDescent="0.25">
      <c r="A63" s="28" t="s">
        <v>644</v>
      </c>
      <c r="B63" s="25"/>
      <c r="C63" s="25"/>
      <c r="D63" s="25"/>
      <c r="E63" s="25"/>
      <c r="F63" s="25"/>
      <c r="G63" s="25"/>
      <c r="H63" s="25"/>
    </row>
    <row r="64" spans="1:8" ht="34" customHeight="1" x14ac:dyDescent="0.25">
      <c r="A64" s="33" t="s">
        <v>645</v>
      </c>
      <c r="B64" s="25"/>
      <c r="C64" s="25"/>
      <c r="D64" s="25"/>
      <c r="E64" s="25"/>
      <c r="F64" s="25"/>
      <c r="G64" s="25"/>
      <c r="H64" s="25"/>
    </row>
  </sheetData>
  <mergeCells count="75">
    <mergeCell ref="A63:H63"/>
    <mergeCell ref="F40:H40"/>
    <mergeCell ref="F12:H12"/>
    <mergeCell ref="F30:H30"/>
    <mergeCell ref="A9:B9"/>
    <mergeCell ref="G9:H9"/>
    <mergeCell ref="F15:H15"/>
    <mergeCell ref="F55:H55"/>
    <mergeCell ref="F24:H24"/>
    <mergeCell ref="F51:H51"/>
    <mergeCell ref="A2:H2"/>
    <mergeCell ref="F57:H57"/>
    <mergeCell ref="A5:B5"/>
    <mergeCell ref="G5:H5"/>
    <mergeCell ref="F44:H44"/>
    <mergeCell ref="F53:H53"/>
    <mergeCell ref="A8:B8"/>
    <mergeCell ref="F29:H29"/>
    <mergeCell ref="C8:D8"/>
    <mergeCell ref="F25:H25"/>
    <mergeCell ref="F34:H34"/>
    <mergeCell ref="A4:H4"/>
    <mergeCell ref="F16:H16"/>
    <mergeCell ref="F54:H54"/>
    <mergeCell ref="C7:D7"/>
    <mergeCell ref="F19:H19"/>
    <mergeCell ref="F61:H61"/>
    <mergeCell ref="E6:F6"/>
    <mergeCell ref="F14:H14"/>
    <mergeCell ref="F60:H60"/>
    <mergeCell ref="F49:H49"/>
    <mergeCell ref="F59:H59"/>
    <mergeCell ref="E7:F7"/>
    <mergeCell ref="F56:H56"/>
    <mergeCell ref="F58:H58"/>
    <mergeCell ref="G6:H6"/>
    <mergeCell ref="C9:D9"/>
    <mergeCell ref="F48:H48"/>
    <mergeCell ref="F52:H52"/>
    <mergeCell ref="E9:F9"/>
    <mergeCell ref="F37:H37"/>
    <mergeCell ref="F39:H39"/>
    <mergeCell ref="A64:H64"/>
    <mergeCell ref="A1:H1"/>
    <mergeCell ref="G8:H8"/>
    <mergeCell ref="E8:F8"/>
    <mergeCell ref="A6:B6"/>
    <mergeCell ref="F47:H47"/>
    <mergeCell ref="F23:H23"/>
    <mergeCell ref="F38:H38"/>
    <mergeCell ref="F46:H46"/>
    <mergeCell ref="F22:H22"/>
    <mergeCell ref="A7:B7"/>
    <mergeCell ref="G7:H7"/>
    <mergeCell ref="F13:H13"/>
    <mergeCell ref="F28:H28"/>
    <mergeCell ref="F31:H31"/>
    <mergeCell ref="F27:H27"/>
    <mergeCell ref="F45:H45"/>
    <mergeCell ref="F41:H41"/>
    <mergeCell ref="C5:D5"/>
    <mergeCell ref="F32:H32"/>
    <mergeCell ref="F50:H50"/>
    <mergeCell ref="E5:F5"/>
    <mergeCell ref="F26:H26"/>
    <mergeCell ref="A36:H36"/>
    <mergeCell ref="A11:H11"/>
    <mergeCell ref="F17:H17"/>
    <mergeCell ref="F43:H43"/>
    <mergeCell ref="F20:H20"/>
    <mergeCell ref="C6:D6"/>
    <mergeCell ref="F21:H21"/>
    <mergeCell ref="F42:H42"/>
    <mergeCell ref="F18:H18"/>
    <mergeCell ref="F33:H33"/>
  </mergeCells>
  <phoneticPr fontId="13" type="noConversion"/>
  <conditionalFormatting sqref="B52:D54">
    <cfRule type="expression" dxfId="4" priority="1">
      <formula>B52&lt;0</formula>
    </cfRule>
  </conditionalFormatting>
  <dataValidations count="2">
    <dataValidation type="decimal" showErrorMessage="1" errorTitle="比例输入错误" error="请输入0到1之间的比例。" sqref="B15:D15 B21:D21 B22:D22" xr:uid="{00000000-0002-0000-0300-000000000000}">
      <formula1>0</formula1>
      <formula2>1</formula2>
    </dataValidation>
    <dataValidation type="decimal" operator="greaterThanOrEqual" showErrorMessage="1" error="请输入大于或等于0的数。" sqref="B13:D13 B14:D14 B16:D16 B17:D17 B18:D18 B19:D19 B20:D20 B23:D23 B24:D24 B25:D25 B26:D26 B27:D27 B28:D28 B29:D29 B30:D30 B31:D31 B32:D32 B34:D34" xr:uid="{00000000-0002-0000-0300-000001000000}">
      <formula1>0</formula1>
    </dataValidation>
  </dataValidations>
  <printOptions horizontalCentered="1"/>
  <pageMargins left="0.25" right="0.25" top="0.35" bottom="0.35" header="0.5" footer="0.5"/>
  <pageSetup paperSize="8" fitToHeight="0" orientation="landscape"/>
  <headerFooter>
    <oddFooter>&amp;CPLEX · 12个月执行 / 24个月展望 · 规划目标≠已实现结果&amp;R&amp;P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7F8C"/>
    <outlinePr summaryRight="0"/>
    <pageSetUpPr fitToPage="1"/>
  </sheetPr>
  <dimension ref="A1:J37"/>
  <sheetViews>
    <sheetView showGridLines="0" zoomScale="75"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2" width="10" customWidth="1"/>
    <col min="3" max="3" width="36" customWidth="1"/>
    <col min="4" max="4" width="19" customWidth="1"/>
    <col min="5" max="6" width="16" customWidth="1"/>
    <col min="7" max="7" width="24" customWidth="1"/>
    <col min="8" max="8" width="48" customWidth="1"/>
    <col min="9" max="9" width="15" customWidth="1"/>
    <col min="10" max="10" width="30" customWidth="1"/>
  </cols>
  <sheetData>
    <row r="1" spans="1:10" ht="46" customHeight="1" x14ac:dyDescent="0.25">
      <c r="A1" s="24" t="s">
        <v>646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36" customHeight="1" x14ac:dyDescent="0.25">
      <c r="A2" s="27" t="s">
        <v>647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34" customHeight="1" x14ac:dyDescent="0.25">
      <c r="A4" s="33" t="s">
        <v>648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29" customHeight="1" x14ac:dyDescent="0.25">
      <c r="A5" s="6" t="s">
        <v>649</v>
      </c>
      <c r="B5" s="6" t="s">
        <v>650</v>
      </c>
      <c r="C5" s="6" t="s">
        <v>651</v>
      </c>
      <c r="D5" s="6" t="s">
        <v>11</v>
      </c>
      <c r="E5" s="6" t="s">
        <v>652</v>
      </c>
      <c r="F5" s="6" t="s">
        <v>653</v>
      </c>
      <c r="G5" s="6" t="s">
        <v>654</v>
      </c>
      <c r="H5" s="6" t="s">
        <v>655</v>
      </c>
      <c r="I5" s="6" t="s">
        <v>656</v>
      </c>
      <c r="J5" s="6" t="s">
        <v>657</v>
      </c>
    </row>
    <row r="6" spans="1:10" ht="62" customHeight="1" x14ac:dyDescent="0.25">
      <c r="A6" s="1" t="s">
        <v>658</v>
      </c>
      <c r="B6" s="21" t="s">
        <v>659</v>
      </c>
      <c r="C6" s="1" t="s">
        <v>660</v>
      </c>
      <c r="D6" s="22" t="s">
        <v>35</v>
      </c>
      <c r="E6" s="23">
        <f>EDATE('01目标路线'!$B$4,0)</f>
        <v>46282</v>
      </c>
      <c r="F6" s="23">
        <f>EDATE('01目标路线'!$B$4,1)-1</f>
        <v>46311</v>
      </c>
      <c r="G6" s="1" t="s">
        <v>661</v>
      </c>
      <c r="H6" s="1" t="s">
        <v>662</v>
      </c>
      <c r="I6" s="22" t="s">
        <v>663</v>
      </c>
      <c r="J6" s="22" t="s">
        <v>664</v>
      </c>
    </row>
    <row r="7" spans="1:10" ht="62" customHeight="1" x14ac:dyDescent="0.25">
      <c r="A7" s="1" t="s">
        <v>665</v>
      </c>
      <c r="B7" s="21" t="s">
        <v>659</v>
      </c>
      <c r="C7" s="1" t="s">
        <v>666</v>
      </c>
      <c r="D7" s="22" t="s">
        <v>18</v>
      </c>
      <c r="E7" s="23">
        <f>EDATE('01目标路线'!$B$4,0)</f>
        <v>46282</v>
      </c>
      <c r="F7" s="23">
        <f>EDATE('01目标路线'!$B$4,1)-1</f>
        <v>46311</v>
      </c>
      <c r="G7" s="1" t="s">
        <v>658</v>
      </c>
      <c r="H7" s="1" t="s">
        <v>667</v>
      </c>
      <c r="I7" s="22" t="s">
        <v>663</v>
      </c>
      <c r="J7" s="22" t="s">
        <v>664</v>
      </c>
    </row>
    <row r="8" spans="1:10" ht="62" customHeight="1" x14ac:dyDescent="0.25">
      <c r="A8" s="1" t="s">
        <v>668</v>
      </c>
      <c r="B8" s="21" t="s">
        <v>659</v>
      </c>
      <c r="C8" s="1" t="s">
        <v>669</v>
      </c>
      <c r="D8" s="22" t="s">
        <v>670</v>
      </c>
      <c r="E8" s="23">
        <f>EDATE('01目标路线'!$B$4,1)</f>
        <v>46312</v>
      </c>
      <c r="F8" s="23">
        <f>EDATE('01目标路线'!$B$4,2)-1</f>
        <v>46342</v>
      </c>
      <c r="G8" s="1" t="s">
        <v>665</v>
      </c>
      <c r="H8" s="1" t="s">
        <v>671</v>
      </c>
      <c r="I8" s="22" t="s">
        <v>663</v>
      </c>
      <c r="J8" s="22" t="s">
        <v>664</v>
      </c>
    </row>
    <row r="9" spans="1:10" ht="62" customHeight="1" x14ac:dyDescent="0.25">
      <c r="A9" s="1" t="s">
        <v>672</v>
      </c>
      <c r="B9" s="21" t="s">
        <v>659</v>
      </c>
      <c r="C9" s="1" t="s">
        <v>673</v>
      </c>
      <c r="D9" s="22" t="s">
        <v>18</v>
      </c>
      <c r="E9" s="23">
        <f>EDATE('01目标路线'!$B$4,2)</f>
        <v>46343</v>
      </c>
      <c r="F9" s="23">
        <f>EDATE('01目标路线'!$B$4,3)-1</f>
        <v>46372</v>
      </c>
      <c r="G9" s="1" t="s">
        <v>668</v>
      </c>
      <c r="H9" s="1" t="s">
        <v>674</v>
      </c>
      <c r="I9" s="22" t="s">
        <v>663</v>
      </c>
      <c r="J9" s="22" t="s">
        <v>664</v>
      </c>
    </row>
    <row r="10" spans="1:10" ht="62" customHeight="1" x14ac:dyDescent="0.25">
      <c r="A10" s="1" t="s">
        <v>675</v>
      </c>
      <c r="B10" s="21" t="s">
        <v>659</v>
      </c>
      <c r="C10" s="1" t="s">
        <v>676</v>
      </c>
      <c r="D10" s="22" t="s">
        <v>677</v>
      </c>
      <c r="E10" s="23">
        <f>EDATE('01目标路线'!$B$4,1)</f>
        <v>46312</v>
      </c>
      <c r="F10" s="23">
        <f>EDATE('01目标路线'!$B$4,2)-1</f>
        <v>46342</v>
      </c>
      <c r="G10" s="1" t="s">
        <v>678</v>
      </c>
      <c r="H10" s="1" t="s">
        <v>679</v>
      </c>
      <c r="I10" s="22" t="s">
        <v>663</v>
      </c>
      <c r="J10" s="22" t="s">
        <v>664</v>
      </c>
    </row>
    <row r="11" spans="1:10" ht="62" customHeight="1" x14ac:dyDescent="0.25">
      <c r="A11" s="1" t="s">
        <v>680</v>
      </c>
      <c r="B11" s="21" t="s">
        <v>659</v>
      </c>
      <c r="C11" s="1" t="s">
        <v>681</v>
      </c>
      <c r="D11" s="22" t="s">
        <v>682</v>
      </c>
      <c r="E11" s="23">
        <f>EDATE('01目标路线'!$B$4,2)</f>
        <v>46343</v>
      </c>
      <c r="F11" s="23">
        <f>EDATE('01目标路线'!$B$4,3)-1</f>
        <v>46372</v>
      </c>
      <c r="G11" s="1" t="s">
        <v>683</v>
      </c>
      <c r="H11" s="1" t="s">
        <v>684</v>
      </c>
      <c r="I11" s="22" t="s">
        <v>663</v>
      </c>
      <c r="J11" s="22" t="s">
        <v>664</v>
      </c>
    </row>
    <row r="12" spans="1:10" ht="62" customHeight="1" x14ac:dyDescent="0.25">
      <c r="A12" s="1" t="s">
        <v>685</v>
      </c>
      <c r="B12" s="21" t="s">
        <v>659</v>
      </c>
      <c r="C12" s="1" t="s">
        <v>686</v>
      </c>
      <c r="D12" s="22" t="s">
        <v>25</v>
      </c>
      <c r="E12" s="23">
        <f>EDATE('01目标路线'!$B$4,0)</f>
        <v>46282</v>
      </c>
      <c r="F12" s="23">
        <f>EDATE('01目标路线'!$B$4,1)-1</f>
        <v>46311</v>
      </c>
      <c r="G12" s="1" t="s">
        <v>661</v>
      </c>
      <c r="H12" s="1" t="s">
        <v>687</v>
      </c>
      <c r="I12" s="22" t="s">
        <v>663</v>
      </c>
      <c r="J12" s="22" t="s">
        <v>664</v>
      </c>
    </row>
    <row r="13" spans="1:10" ht="62" customHeight="1" x14ac:dyDescent="0.25">
      <c r="A13" s="1" t="s">
        <v>688</v>
      </c>
      <c r="B13" s="21" t="s">
        <v>659</v>
      </c>
      <c r="C13" s="1" t="s">
        <v>689</v>
      </c>
      <c r="D13" s="22" t="s">
        <v>690</v>
      </c>
      <c r="E13" s="23">
        <f>EDATE('01目标路线'!$B$4,1)</f>
        <v>46312</v>
      </c>
      <c r="F13" s="23">
        <f>EDATE('01目标路线'!$B$4,2)-1</f>
        <v>46342</v>
      </c>
      <c r="G13" s="1" t="s">
        <v>437</v>
      </c>
      <c r="H13" s="1" t="s">
        <v>691</v>
      </c>
      <c r="I13" s="22" t="s">
        <v>663</v>
      </c>
      <c r="J13" s="22" t="s">
        <v>664</v>
      </c>
    </row>
    <row r="14" spans="1:10" ht="62" customHeight="1" x14ac:dyDescent="0.25">
      <c r="A14" s="1" t="s">
        <v>462</v>
      </c>
      <c r="B14" s="21" t="s">
        <v>659</v>
      </c>
      <c r="C14" s="1" t="s">
        <v>692</v>
      </c>
      <c r="D14" s="22" t="s">
        <v>41</v>
      </c>
      <c r="E14" s="23">
        <f>EDATE('01目标路线'!$B$4,2)</f>
        <v>46343</v>
      </c>
      <c r="F14" s="23">
        <f>EDATE('01目标路线'!$B$4,3)-1</f>
        <v>46372</v>
      </c>
      <c r="G14" s="1" t="s">
        <v>688</v>
      </c>
      <c r="H14" s="1" t="s">
        <v>693</v>
      </c>
      <c r="I14" s="22" t="s">
        <v>663</v>
      </c>
      <c r="J14" s="22" t="s">
        <v>664</v>
      </c>
    </row>
    <row r="15" spans="1:10" ht="62" customHeight="1" x14ac:dyDescent="0.25">
      <c r="A15" s="1" t="s">
        <v>409</v>
      </c>
      <c r="B15" s="1" t="s">
        <v>694</v>
      </c>
      <c r="C15" s="1" t="s">
        <v>695</v>
      </c>
      <c r="D15" s="22" t="s">
        <v>696</v>
      </c>
      <c r="E15" s="23">
        <f>EDATE('01目标路线'!$B$4,3)</f>
        <v>46373</v>
      </c>
      <c r="F15" s="23">
        <f>EDATE('01目标路线'!$B$4,4)-1</f>
        <v>46403</v>
      </c>
      <c r="G15" s="1" t="s">
        <v>697</v>
      </c>
      <c r="H15" s="1" t="s">
        <v>698</v>
      </c>
      <c r="I15" s="22" t="s">
        <v>663</v>
      </c>
      <c r="J15" s="22" t="s">
        <v>664</v>
      </c>
    </row>
    <row r="16" spans="1:10" ht="62" customHeight="1" x14ac:dyDescent="0.25">
      <c r="A16" s="1" t="s">
        <v>699</v>
      </c>
      <c r="B16" s="1" t="s">
        <v>694</v>
      </c>
      <c r="C16" s="1" t="s">
        <v>700</v>
      </c>
      <c r="D16" s="22" t="s">
        <v>701</v>
      </c>
      <c r="E16" s="23">
        <f>EDATE('01目标路线'!$B$4,4)</f>
        <v>46404</v>
      </c>
      <c r="F16" s="23">
        <f>EDATE('01目标路线'!$B$4,6)-1</f>
        <v>46462</v>
      </c>
      <c r="G16" s="1" t="s">
        <v>702</v>
      </c>
      <c r="H16" s="1" t="s">
        <v>703</v>
      </c>
      <c r="I16" s="22" t="s">
        <v>663</v>
      </c>
      <c r="J16" s="22" t="s">
        <v>664</v>
      </c>
    </row>
    <row r="17" spans="1:10" ht="62" customHeight="1" x14ac:dyDescent="0.25">
      <c r="A17" s="1" t="s">
        <v>704</v>
      </c>
      <c r="B17" s="1" t="s">
        <v>694</v>
      </c>
      <c r="C17" s="1" t="s">
        <v>705</v>
      </c>
      <c r="D17" s="22" t="s">
        <v>25</v>
      </c>
      <c r="E17" s="23">
        <f>EDATE('01目标路线'!$B$4,6)</f>
        <v>46463</v>
      </c>
      <c r="F17" s="23">
        <f>EDATE('01目标路线'!$B$4,7)-1</f>
        <v>46493</v>
      </c>
      <c r="G17" s="1" t="s">
        <v>699</v>
      </c>
      <c r="H17" s="1" t="s">
        <v>706</v>
      </c>
      <c r="I17" s="22" t="s">
        <v>663</v>
      </c>
      <c r="J17" s="22" t="s">
        <v>664</v>
      </c>
    </row>
    <row r="18" spans="1:10" ht="62" customHeight="1" x14ac:dyDescent="0.25">
      <c r="A18" s="1" t="s">
        <v>707</v>
      </c>
      <c r="B18" s="1" t="s">
        <v>694</v>
      </c>
      <c r="C18" s="1" t="s">
        <v>708</v>
      </c>
      <c r="D18" s="22" t="s">
        <v>25</v>
      </c>
      <c r="E18" s="23">
        <f>EDATE('01目标路线'!$B$4,7)</f>
        <v>46494</v>
      </c>
      <c r="F18" s="23">
        <f>EDATE('01目标路线'!$B$4,8)-1</f>
        <v>46523</v>
      </c>
      <c r="G18" s="1" t="s">
        <v>709</v>
      </c>
      <c r="H18" s="1" t="s">
        <v>710</v>
      </c>
      <c r="I18" s="22" t="s">
        <v>663</v>
      </c>
      <c r="J18" s="22" t="s">
        <v>664</v>
      </c>
    </row>
    <row r="19" spans="1:10" ht="62" customHeight="1" x14ac:dyDescent="0.25">
      <c r="A19" s="1" t="s">
        <v>351</v>
      </c>
      <c r="B19" s="21" t="s">
        <v>659</v>
      </c>
      <c r="C19" s="1" t="s">
        <v>711</v>
      </c>
      <c r="D19" s="22" t="s">
        <v>712</v>
      </c>
      <c r="E19" s="23">
        <f>EDATE('01目标路线'!$B$4,0)</f>
        <v>46282</v>
      </c>
      <c r="F19" s="23">
        <f>EDATE('01目标路线'!$B$4,1)-1</f>
        <v>46311</v>
      </c>
      <c r="G19" s="1" t="s">
        <v>661</v>
      </c>
      <c r="H19" s="1" t="s">
        <v>713</v>
      </c>
      <c r="I19" s="22" t="s">
        <v>663</v>
      </c>
      <c r="J19" s="22" t="s">
        <v>664</v>
      </c>
    </row>
    <row r="20" spans="1:10" ht="62" customHeight="1" x14ac:dyDescent="0.25">
      <c r="A20" s="1" t="s">
        <v>358</v>
      </c>
      <c r="B20" s="1" t="s">
        <v>694</v>
      </c>
      <c r="C20" s="1" t="s">
        <v>714</v>
      </c>
      <c r="D20" s="22" t="s">
        <v>100</v>
      </c>
      <c r="E20" s="23">
        <f>EDATE('01目标路线'!$B$4,1)</f>
        <v>46312</v>
      </c>
      <c r="F20" s="23">
        <f>EDATE('01目标路线'!$B$4,2)-1</f>
        <v>46342</v>
      </c>
      <c r="G20" s="1" t="s">
        <v>715</v>
      </c>
      <c r="H20" s="1" t="s">
        <v>716</v>
      </c>
      <c r="I20" s="22" t="s">
        <v>663</v>
      </c>
      <c r="J20" s="22" t="s">
        <v>664</v>
      </c>
    </row>
    <row r="21" spans="1:10" ht="62" customHeight="1" x14ac:dyDescent="0.25">
      <c r="A21" s="1" t="s">
        <v>717</v>
      </c>
      <c r="B21" s="1" t="s">
        <v>694</v>
      </c>
      <c r="C21" s="1" t="s">
        <v>718</v>
      </c>
      <c r="D21" s="22" t="s">
        <v>719</v>
      </c>
      <c r="E21" s="23">
        <f>EDATE('01目标路线'!$B$4,2)</f>
        <v>46343</v>
      </c>
      <c r="F21" s="23">
        <f>EDATE('01目标路线'!$B$4,3)-1</f>
        <v>46372</v>
      </c>
      <c r="G21" s="1" t="s">
        <v>358</v>
      </c>
      <c r="H21" s="1" t="s">
        <v>720</v>
      </c>
      <c r="I21" s="22" t="s">
        <v>663</v>
      </c>
      <c r="J21" s="22" t="s">
        <v>664</v>
      </c>
    </row>
    <row r="22" spans="1:10" ht="62" customHeight="1" x14ac:dyDescent="0.25">
      <c r="A22" s="1" t="s">
        <v>721</v>
      </c>
      <c r="B22" s="1" t="s">
        <v>694</v>
      </c>
      <c r="C22" s="1" t="s">
        <v>722</v>
      </c>
      <c r="D22" s="22" t="s">
        <v>723</v>
      </c>
      <c r="E22" s="23">
        <f>EDATE('01目标路线'!$B$4,3)</f>
        <v>46373</v>
      </c>
      <c r="F22" s="23">
        <f>EDATE('01目标路线'!$B$4,5)-1</f>
        <v>46434</v>
      </c>
      <c r="G22" s="1" t="s">
        <v>724</v>
      </c>
      <c r="H22" s="1" t="s">
        <v>725</v>
      </c>
      <c r="I22" s="22" t="s">
        <v>663</v>
      </c>
      <c r="J22" s="22" t="s">
        <v>664</v>
      </c>
    </row>
    <row r="23" spans="1:10" ht="62" customHeight="1" x14ac:dyDescent="0.25">
      <c r="A23" s="1" t="s">
        <v>372</v>
      </c>
      <c r="B23" s="1" t="s">
        <v>694</v>
      </c>
      <c r="C23" s="1" t="s">
        <v>726</v>
      </c>
      <c r="D23" s="22" t="s">
        <v>701</v>
      </c>
      <c r="E23" s="23">
        <f>EDATE('01目标路线'!$B$4,5)</f>
        <v>46435</v>
      </c>
      <c r="F23" s="23">
        <f>EDATE('01目标路线'!$B$4,6)-1</f>
        <v>46462</v>
      </c>
      <c r="G23" s="1" t="s">
        <v>721</v>
      </c>
      <c r="H23" s="1" t="s">
        <v>727</v>
      </c>
      <c r="I23" s="22" t="s">
        <v>663</v>
      </c>
      <c r="J23" s="22" t="s">
        <v>664</v>
      </c>
    </row>
    <row r="24" spans="1:10" ht="62" customHeight="1" x14ac:dyDescent="0.25">
      <c r="A24" s="1" t="s">
        <v>728</v>
      </c>
      <c r="B24" s="21" t="s">
        <v>659</v>
      </c>
      <c r="C24" s="1" t="s">
        <v>729</v>
      </c>
      <c r="D24" s="22" t="s">
        <v>108</v>
      </c>
      <c r="E24" s="23">
        <f>EDATE('01目标路线'!$B$4,2)</f>
        <v>46343</v>
      </c>
      <c r="F24" s="23">
        <f>EDATE('01目标路线'!$B$4,3)-1</f>
        <v>46372</v>
      </c>
      <c r="G24" s="1" t="s">
        <v>730</v>
      </c>
      <c r="H24" s="1" t="s">
        <v>731</v>
      </c>
      <c r="I24" s="22" t="s">
        <v>663</v>
      </c>
      <c r="J24" s="22" t="s">
        <v>664</v>
      </c>
    </row>
    <row r="25" spans="1:10" ht="62" customHeight="1" x14ac:dyDescent="0.25">
      <c r="A25" s="1" t="s">
        <v>732</v>
      </c>
      <c r="B25" s="21" t="s">
        <v>659</v>
      </c>
      <c r="C25" s="1" t="s">
        <v>733</v>
      </c>
      <c r="D25" s="22" t="s">
        <v>734</v>
      </c>
      <c r="E25" s="23">
        <f>EDATE('01目标路线'!$B$4,0)</f>
        <v>46282</v>
      </c>
      <c r="F25" s="23">
        <f>EDATE('01目标路线'!$B$4,1)-1</f>
        <v>46311</v>
      </c>
      <c r="G25" s="1" t="s">
        <v>661</v>
      </c>
      <c r="H25" s="1" t="s">
        <v>735</v>
      </c>
      <c r="I25" s="22" t="s">
        <v>663</v>
      </c>
      <c r="J25" s="22" t="s">
        <v>664</v>
      </c>
    </row>
    <row r="26" spans="1:10" ht="62" customHeight="1" x14ac:dyDescent="0.25">
      <c r="A26" s="1" t="s">
        <v>736</v>
      </c>
      <c r="B26" s="21" t="s">
        <v>659</v>
      </c>
      <c r="C26" s="1" t="s">
        <v>737</v>
      </c>
      <c r="D26" s="22" t="s">
        <v>738</v>
      </c>
      <c r="E26" s="23">
        <f>EDATE('01目标路线'!$B$4,1)</f>
        <v>46312</v>
      </c>
      <c r="F26" s="23">
        <f>EDATE('01目标路线'!$B$4,2)-1</f>
        <v>46342</v>
      </c>
      <c r="G26" s="1" t="s">
        <v>739</v>
      </c>
      <c r="H26" s="1" t="s">
        <v>740</v>
      </c>
      <c r="I26" s="22" t="s">
        <v>663</v>
      </c>
      <c r="J26" s="22" t="s">
        <v>664</v>
      </c>
    </row>
    <row r="27" spans="1:10" ht="62" customHeight="1" x14ac:dyDescent="0.25">
      <c r="A27" s="1" t="s">
        <v>741</v>
      </c>
      <c r="B27" s="21" t="s">
        <v>659</v>
      </c>
      <c r="C27" s="1" t="s">
        <v>742</v>
      </c>
      <c r="D27" s="22" t="s">
        <v>743</v>
      </c>
      <c r="E27" s="23">
        <f>EDATE('01目标路线'!$B$4,0)</f>
        <v>46282</v>
      </c>
      <c r="F27" s="23">
        <f>EDATE('01目标路线'!$B$4,1)-1</f>
        <v>46311</v>
      </c>
      <c r="G27" s="1" t="s">
        <v>661</v>
      </c>
      <c r="H27" s="1" t="s">
        <v>744</v>
      </c>
      <c r="I27" s="22" t="s">
        <v>663</v>
      </c>
      <c r="J27" s="22" t="s">
        <v>664</v>
      </c>
    </row>
    <row r="28" spans="1:10" ht="62" customHeight="1" x14ac:dyDescent="0.25">
      <c r="A28" s="1" t="s">
        <v>745</v>
      </c>
      <c r="B28" s="1" t="s">
        <v>694</v>
      </c>
      <c r="C28" s="1" t="s">
        <v>746</v>
      </c>
      <c r="D28" s="22" t="s">
        <v>747</v>
      </c>
      <c r="E28" s="23">
        <f>EDATE('01目标路线'!$B$4,1)</f>
        <v>46312</v>
      </c>
      <c r="F28" s="23">
        <f>EDATE('01目标路线'!$B$4,2)-1</f>
        <v>46342</v>
      </c>
      <c r="G28" s="1" t="s">
        <v>739</v>
      </c>
      <c r="H28" s="1" t="s">
        <v>748</v>
      </c>
      <c r="I28" s="22" t="s">
        <v>663</v>
      </c>
      <c r="J28" s="22" t="s">
        <v>664</v>
      </c>
    </row>
    <row r="29" spans="1:10" ht="62" customHeight="1" x14ac:dyDescent="0.25">
      <c r="A29" s="1" t="s">
        <v>749</v>
      </c>
      <c r="B29" s="1" t="s">
        <v>694</v>
      </c>
      <c r="C29" s="1" t="s">
        <v>750</v>
      </c>
      <c r="D29" s="22" t="s">
        <v>55</v>
      </c>
      <c r="E29" s="23">
        <f>EDATE('01目标路线'!$B$4,3)</f>
        <v>46373</v>
      </c>
      <c r="F29" s="23">
        <f>EDATE('01目标路线'!$B$4,6)-1</f>
        <v>46462</v>
      </c>
      <c r="G29" s="1" t="s">
        <v>751</v>
      </c>
      <c r="H29" s="1" t="s">
        <v>752</v>
      </c>
      <c r="I29" s="22" t="s">
        <v>663</v>
      </c>
      <c r="J29" s="22" t="s">
        <v>664</v>
      </c>
    </row>
    <row r="30" spans="1:10" ht="62" customHeight="1" x14ac:dyDescent="0.25">
      <c r="A30" s="1" t="s">
        <v>753</v>
      </c>
      <c r="B30" s="1" t="s">
        <v>694</v>
      </c>
      <c r="C30" s="1" t="s">
        <v>754</v>
      </c>
      <c r="D30" s="22" t="s">
        <v>755</v>
      </c>
      <c r="E30" s="23">
        <f>EDATE('01目标路线'!$B$4,1)</f>
        <v>46312</v>
      </c>
      <c r="F30" s="23">
        <f>EDATE('01目标路线'!$B$4,2)-1</f>
        <v>46342</v>
      </c>
      <c r="G30" s="1" t="s">
        <v>756</v>
      </c>
      <c r="H30" s="1" t="s">
        <v>757</v>
      </c>
      <c r="I30" s="22" t="s">
        <v>663</v>
      </c>
      <c r="J30" s="22" t="s">
        <v>664</v>
      </c>
    </row>
    <row r="31" spans="1:10" ht="62" customHeight="1" x14ac:dyDescent="0.25">
      <c r="A31" s="1" t="s">
        <v>758</v>
      </c>
      <c r="B31" s="1" t="s">
        <v>694</v>
      </c>
      <c r="C31" s="1" t="s">
        <v>759</v>
      </c>
      <c r="D31" s="22" t="s">
        <v>747</v>
      </c>
      <c r="E31" s="23">
        <f>EDATE('01目标路线'!$B$4,5)</f>
        <v>46435</v>
      </c>
      <c r="F31" s="23">
        <f>EDATE('01目标路线'!$B$4,6)-1</f>
        <v>46462</v>
      </c>
      <c r="G31" s="1" t="s">
        <v>760</v>
      </c>
      <c r="H31" s="1" t="s">
        <v>761</v>
      </c>
      <c r="I31" s="22" t="s">
        <v>663</v>
      </c>
      <c r="J31" s="22" t="s">
        <v>664</v>
      </c>
    </row>
    <row r="32" spans="1:10" ht="62" customHeight="1" x14ac:dyDescent="0.25">
      <c r="A32" s="1" t="s">
        <v>762</v>
      </c>
      <c r="B32" s="1" t="s">
        <v>694</v>
      </c>
      <c r="C32" s="1" t="s">
        <v>763</v>
      </c>
      <c r="D32" s="22" t="s">
        <v>755</v>
      </c>
      <c r="E32" s="23">
        <f>EDATE('01目标路线'!$B$4,8)</f>
        <v>46524</v>
      </c>
      <c r="F32" s="23">
        <f>EDATE('01目标路线'!$B$4,9)-1</f>
        <v>46554</v>
      </c>
      <c r="G32" s="1" t="s">
        <v>764</v>
      </c>
      <c r="H32" s="1" t="s">
        <v>765</v>
      </c>
      <c r="I32" s="22" t="s">
        <v>663</v>
      </c>
      <c r="J32" s="22" t="s">
        <v>664</v>
      </c>
    </row>
    <row r="33" spans="1:10" ht="62" customHeight="1" x14ac:dyDescent="0.25">
      <c r="A33" s="1" t="s">
        <v>766</v>
      </c>
      <c r="B33" s="1" t="s">
        <v>767</v>
      </c>
      <c r="C33" s="1" t="s">
        <v>768</v>
      </c>
      <c r="D33" s="22" t="s">
        <v>769</v>
      </c>
      <c r="E33" s="23">
        <f>EDATE('01目标路线'!$B$4,9)</f>
        <v>46555</v>
      </c>
      <c r="F33" s="23">
        <f>EDATE('01目标路线'!$B$4,12)-1</f>
        <v>46646</v>
      </c>
      <c r="G33" s="1" t="s">
        <v>770</v>
      </c>
      <c r="H33" s="1" t="s">
        <v>771</v>
      </c>
      <c r="I33" s="22" t="s">
        <v>663</v>
      </c>
      <c r="J33" s="22" t="s">
        <v>664</v>
      </c>
    </row>
    <row r="34" spans="1:10" ht="62" customHeight="1" x14ac:dyDescent="0.25">
      <c r="A34" s="1" t="s">
        <v>772</v>
      </c>
      <c r="B34" s="1" t="s">
        <v>694</v>
      </c>
      <c r="C34" s="1" t="s">
        <v>773</v>
      </c>
      <c r="D34" s="22" t="s">
        <v>774</v>
      </c>
      <c r="E34" s="23">
        <f>EDATE('01目标路线'!$B$4,3)</f>
        <v>46373</v>
      </c>
      <c r="F34" s="23">
        <f>EDATE('01目标路线'!$B$4,5)-1</f>
        <v>46434</v>
      </c>
      <c r="G34" s="1" t="s">
        <v>775</v>
      </c>
      <c r="H34" s="1" t="s">
        <v>776</v>
      </c>
      <c r="I34" s="22" t="s">
        <v>663</v>
      </c>
      <c r="J34" s="22" t="s">
        <v>664</v>
      </c>
    </row>
    <row r="35" spans="1:10" ht="62" customHeight="1" x14ac:dyDescent="0.25">
      <c r="A35" s="1" t="s">
        <v>777</v>
      </c>
      <c r="B35" s="21" t="s">
        <v>659</v>
      </c>
      <c r="C35" s="1" t="s">
        <v>778</v>
      </c>
      <c r="D35" s="22" t="s">
        <v>35</v>
      </c>
      <c r="E35" s="23">
        <f>EDATE('01目标路线'!$B$4,2)</f>
        <v>46343</v>
      </c>
      <c r="F35" s="23">
        <f>EDATE('01目标路线'!$B$4,3)-1</f>
        <v>46372</v>
      </c>
      <c r="G35" s="1" t="s">
        <v>779</v>
      </c>
      <c r="H35" s="1" t="s">
        <v>780</v>
      </c>
      <c r="I35" s="22" t="s">
        <v>663</v>
      </c>
      <c r="J35" s="22" t="s">
        <v>664</v>
      </c>
    </row>
    <row r="36" spans="1:10" ht="62" customHeight="1" x14ac:dyDescent="0.25">
      <c r="A36" s="1" t="s">
        <v>781</v>
      </c>
      <c r="B36" s="1" t="s">
        <v>767</v>
      </c>
      <c r="C36" s="1" t="s">
        <v>782</v>
      </c>
      <c r="D36" s="22" t="s">
        <v>743</v>
      </c>
      <c r="E36" s="23">
        <f>EDATE('01目标路线'!$B$4,11)</f>
        <v>46616</v>
      </c>
      <c r="F36" s="23">
        <f>EDATE('01目标路线'!$B$4,12)-1</f>
        <v>46646</v>
      </c>
      <c r="G36" s="1" t="s">
        <v>783</v>
      </c>
      <c r="H36" s="1" t="s">
        <v>784</v>
      </c>
      <c r="I36" s="22" t="s">
        <v>663</v>
      </c>
      <c r="J36" s="22" t="s">
        <v>664</v>
      </c>
    </row>
    <row r="37" spans="1:10" ht="62" customHeight="1" x14ac:dyDescent="0.25">
      <c r="A37" s="1" t="s">
        <v>166</v>
      </c>
      <c r="B37" s="1" t="s">
        <v>767</v>
      </c>
      <c r="C37" s="1" t="s">
        <v>785</v>
      </c>
      <c r="D37" s="22" t="s">
        <v>35</v>
      </c>
      <c r="E37" s="23">
        <f>EDATE('01目标路线'!$B$4,11)</f>
        <v>46616</v>
      </c>
      <c r="F37" s="23">
        <f>EDATE('01目标路线'!$B$4,12)-1</f>
        <v>46646</v>
      </c>
      <c r="G37" s="1" t="s">
        <v>786</v>
      </c>
      <c r="H37" s="1" t="s">
        <v>787</v>
      </c>
      <c r="I37" s="22" t="s">
        <v>663</v>
      </c>
      <c r="J37" s="22" t="s">
        <v>664</v>
      </c>
    </row>
  </sheetData>
  <mergeCells count="3">
    <mergeCell ref="A1:J1"/>
    <mergeCell ref="A4:J4"/>
    <mergeCell ref="A2:J2"/>
  </mergeCells>
  <phoneticPr fontId="13" type="noConversion"/>
  <conditionalFormatting sqref="I6:I37">
    <cfRule type="expression" dxfId="3" priority="1">
      <formula>I6="已完成"</formula>
    </cfRule>
    <cfRule type="expression" dxfId="2" priority="2">
      <formula>I6="进行中"</formula>
    </cfRule>
    <cfRule type="expression" dxfId="1" priority="3">
      <formula>I6="待验收"</formula>
    </cfRule>
    <cfRule type="expression" dxfId="0" priority="4">
      <formula>I6="阻塞"</formula>
    </cfRule>
  </conditionalFormatting>
  <dataValidations count="1">
    <dataValidation type="list" showErrorMessage="1" error="请选择列表中的任务状态。" sqref="I6:I37" xr:uid="{00000000-0002-0000-0400-000000000000}">
      <formula1>"待开始,进行中,待验收,已完成,阻塞"</formula1>
    </dataValidation>
  </dataValidations>
  <printOptions horizontalCentered="1"/>
  <pageMargins left="0.25" right="0.25" top="0.35" bottom="0.35" header="0.5" footer="0.5"/>
  <pageSetup paperSize="8" fitToHeight="0" orientation="landscape"/>
  <headerFooter>
    <oddFooter>&amp;CPLEX · 12个月执行 / 24个月展望 · 规划目标≠已实现结果&amp;R&amp;P / &amp;N</oddFooter>
  </headerFooter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10</vt:i4>
      </vt:variant>
    </vt:vector>
  </HeadingPairs>
  <TitlesOfParts>
    <vt:vector size="15" baseType="lpstr">
      <vt:lpstr>01目标路线</vt:lpstr>
      <vt:lpstr>02教材软硬件</vt:lpstr>
      <vt:lpstr>03科研模型</vt:lpstr>
      <vt:lpstr>04商业公益</vt:lpstr>
      <vt:lpstr>05执行证据</vt:lpstr>
      <vt:lpstr>'01目标路线'!Print_Area</vt:lpstr>
      <vt:lpstr>'02教材软硬件'!Print_Area</vt:lpstr>
      <vt:lpstr>'03科研模型'!Print_Area</vt:lpstr>
      <vt:lpstr>'04商业公益'!Print_Area</vt:lpstr>
      <vt:lpstr>'05执行证据'!Print_Area</vt:lpstr>
      <vt:lpstr>'01目标路线'!Print_Titles</vt:lpstr>
      <vt:lpstr>'02教材软硬件'!Print_Titles</vt:lpstr>
      <vt:lpstr>'03科研模型'!Print_Titles</vt:lpstr>
      <vt:lpstr>'04商业公益'!Print_Titles</vt:lpstr>
      <vt:lpstr>'05执行证据'!Print_Titles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PLEX 长期完善与落地计划</dc:title>
  <dc:subject>数字教材开发课程：教学、科研、技术、商业与公益</dc:subject>
  <dc:creator>PLEX 项目规划</dc:creator>
  <dc:description>基于用户2026-09-17确认与指定本地项目文档；五张工作表，规划假设与既有成果分开记录。</dc:description>
  <cp:lastModifiedBy>yeni wu</cp:lastModifiedBy>
  <dcterms:created xsi:type="dcterms:W3CDTF">2026-09-17T06:45:31Z</dcterms:created>
  <dcterms:modified xsi:type="dcterms:W3CDTF">2026-09-17T06:45:34Z</dcterms:modified>
</cp:coreProperties>
</file>