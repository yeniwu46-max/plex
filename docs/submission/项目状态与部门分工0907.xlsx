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zhongruan\zhongruan\docs\submission\"/>
    </mc:Choice>
  </mc:AlternateContent>
  <bookViews>
    <workbookView windowWidth="24750" windowHeight="12080"/>
  </bookViews>
  <sheets>
    <sheet name="总览" sheetId="1" r:id="rId1"/>
    <sheet name="原版-当前版改动" sheetId="2" r:id="rId2"/>
    <sheet name="待修改清单" sheetId="3" r:id="rId3"/>
    <sheet name="部门分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<sst xmlns="http://schemas.openxmlformats.org/spreadsheetml/2006/main" count="257" uniqueCount="222">
  <si>
    <t>PLEX × 科大讯飞新工科990｜项目状态与部门分工（DDL 2026-09-07）</t>
  </si>
  <si>
    <t>项目</t>
  </si>
  <si>
    <t>命题</t>
  </si>
  <si>
    <t>审计日期</t>
  </si>
  <si>
    <t>本次DDL</t>
  </si>
  <si>
    <t>最终DDL</t>
  </si>
  <si>
    <t>当前结论</t>
  </si>
  <si>
    <t>PLEX个性化学习平台</t>
  </si>
  <si>
    <t>大模型与多智能体技术在智慧教育个性化学习中的应用创新</t>
  </si>
  <si>
    <t>本地工程证据通过；外部证据未闭环</t>
  </si>
  <si>
    <t>关键指标</t>
  </si>
  <si>
    <t>原版基线</t>
  </si>
  <si>
    <t>当前版本</t>
  </si>
  <si>
    <t>目标</t>
  </si>
  <si>
    <t>证据/文件</t>
  </si>
  <si>
    <t>状态</t>
  </si>
  <si>
    <t>学习者画像维度</t>
  </si>
  <si>
    <t>&gt;=6</t>
  </si>
  <si>
    <t>student_profile.py；本地评测报告</t>
  </si>
  <si>
    <t>已验证</t>
  </si>
  <si>
    <t>知识图谱节点</t>
  </si>
  <si>
    <t>&gt;=100</t>
  </si>
  <si>
    <t>knowledge_node_registry.py；kg-validation报告</t>
  </si>
  <si>
    <t>知识图谱关系</t>
  </si>
  <si>
    <t>&gt;=200</t>
  </si>
  <si>
    <t>kg_topology.py；kg-validation报告</t>
  </si>
  <si>
    <t>学习/评分Agent</t>
  </si>
  <si>
    <t>9/8</t>
  </si>
  <si>
    <t>&gt;=4专业Agent</t>
  </si>
  <si>
    <t>agent_registry.py；orchestration报告</t>
  </si>
  <si>
    <t>资源类型</t>
  </si>
  <si>
    <t>&gt;=5</t>
  </si>
  <si>
    <t>pedagogical_resource.py；RAG本地报告</t>
  </si>
  <si>
    <t>SM-2复习闭环</t>
  </si>
  <si>
    <t>无标准化队列</t>
  </si>
  <si>
    <t>错题→到期队列→复习回写</t>
  </si>
  <si>
    <t>四联动</t>
  </si>
  <si>
    <t>mistake.py；测试7项</t>
  </si>
  <si>
    <t>Spark真实调用</t>
  </si>
  <si>
    <t>未接入证据</t>
  </si>
  <si>
    <t>Pro配置模板/脚本已就绪</t>
  </si>
  <si>
    <t>100条真实调用</t>
  </si>
  <si>
    <t>evaluate_iflytek_live.py</t>
  </si>
  <si>
    <t>待外部证据</t>
  </si>
  <si>
    <t>ASR/TTS/数字人</t>
  </si>
  <si>
    <t>仅局部适配器</t>
  </si>
  <si>
    <t>TTS适配器与埋点</t>
  </si>
  <si>
    <t>30轮全链路/P95</t>
  </si>
  <si>
    <t>evaluate_voice_pipeline.py</t>
  </si>
  <si>
    <t>真实教学实验</t>
  </si>
  <si>
    <t>无</t>
  </si>
  <si>
    <t>空白脱敏事件模板</t>
  </si>
  <si>
    <t>&gt;=100人次</t>
  </si>
  <si>
    <t>data/experiments；analyze脚本</t>
  </si>
  <si>
    <t>MySQL 8洁净环境</t>
  </si>
  <si>
    <t>未验证</t>
  </si>
  <si>
    <t>compose与验证脚本</t>
  </si>
  <si>
    <t>MySQL 8迁移/登录/闭环</t>
  </si>
  <si>
    <t>docker-compose.mysql8.yml</t>
  </si>
  <si>
    <t>路演材料</t>
  </si>
  <si>
    <t>Markdown稿</t>
  </si>
  <si>
    <t>PPTX已生成；正式MP4缺失</t>
  </si>
  <si>
    <t>PPTX+MP4</t>
  </si>
  <si>
    <t>artifacts/PLEX-iflytek-990-defense.pptx</t>
  </si>
  <si>
    <t>进行中</t>
  </si>
  <si>
    <t>审计口径</t>
  </si>
  <si>
    <t>只有当前代码、自动化测试、运行记录或真实实验材料可直接证明的内容计为已完成；Mock、合成学生和静态截图不能关闭外部指标。</t>
  </si>
  <si>
    <t>原版到当前版：已完成改动与可验证证据</t>
  </si>
  <si>
    <t>领域</t>
  </si>
  <si>
    <t>原版状态</t>
  </si>
  <si>
    <t>当前版改动</t>
  </si>
  <si>
    <t>带来的能力</t>
  </si>
  <si>
    <t>验证证据</t>
  </si>
  <si>
    <t>当前状态</t>
  </si>
  <si>
    <t>备注</t>
  </si>
  <si>
    <t>知识图谱</t>
  </si>
  <si>
    <t>8领域/26节点/35关系</t>
  </si>
  <si>
    <t>扩充注册表与拓扑至100节点、256唯一边，增加完整性校验</t>
  </si>
  <si>
    <t>满足节点/关系硬指标并支持路径重规划</t>
  </si>
  <si>
    <t>validate_knowledge_graph.py；iflytek-990-kg-validation-20260828.json</t>
  </si>
  <si>
    <t>仍需教师人工审核语义</t>
  </si>
  <si>
    <t>多智能体</t>
  </si>
  <si>
    <t>9学习Agent、8评分Agent，但缺统一审计材料</t>
  </si>
  <si>
    <t>补充编排trace、依赖、重试和任务步骤报告</t>
  </si>
  <si>
    <t>可展示4+专业Agent协作过程</t>
  </si>
  <si>
    <t>evaluate_agent_orchestration.py；orchestration报告</t>
  </si>
  <si>
    <t>跨进程队列压测仍可增强</t>
  </si>
  <si>
    <t>个性化路径</t>
  </si>
  <si>
    <t>静态/基础路径逻辑</t>
  </si>
  <si>
    <t>加入画像、错题、掌握度与SM-2到期奖励的动态重规划</t>
  </si>
  <si>
    <t>错题复习会影响后续学习路径</t>
  </si>
  <si>
    <t>evaluate_path_replanning.py；path-replanning报告</t>
  </si>
  <si>
    <t>需浏览器端到端录像</t>
  </si>
  <si>
    <t>错题复习</t>
  </si>
  <si>
    <t>有错题记录，缺标准化复习调度</t>
  </si>
  <si>
    <t>新增质量分、复习间隔、到期队列和复习回写API</t>
  </si>
  <si>
    <t>形成考试—错题—复习闭环骨架</t>
  </si>
  <si>
    <t>mistake.py；test_mistakes.py（7项）</t>
  </si>
  <si>
    <t>真实课程数据尚缺</t>
  </si>
  <si>
    <t>资源/RAG</t>
  </si>
  <si>
    <t>资源类型与规则管线基础能力</t>
  </si>
  <si>
    <t>固化6类资源、知识图谱约束和本地幻觉检测报告</t>
  </si>
  <si>
    <t>可审计多模态资源生成与引用约束</t>
  </si>
  <si>
    <t>pedagogical_resource.py；hallucination-local报告</t>
  </si>
  <si>
    <t>100条真实输出核验未完成</t>
  </si>
  <si>
    <t>教师侧</t>
  </si>
  <si>
    <t>基础教师数据接口</t>
  </si>
  <si>
    <t>增加风险摘要、可解释因子和工单读写接口</t>
  </si>
  <si>
    <t>支持教师发现风险并安排干预</t>
  </si>
  <si>
    <t>TeacherHomeView.vue；risk报告</t>
  </si>
  <si>
    <t>前端指派/复核/关闭全流程待验收</t>
  </si>
  <si>
    <t>讯飞接入</t>
  </si>
  <si>
    <t>凭证/模型口径不统一</t>
  </si>
  <si>
    <t>统一Spark Pro generalv3配置、APIPassword调用脚本和脱敏模板</t>
  </si>
  <si>
    <t>具备真实调用验收入口</t>
  </si>
  <si>
    <t>evaluate_iflytek_live.py；16-external-evidence-handoff.md</t>
  </si>
  <si>
    <t>真实凭证必须旋转后本机注入</t>
  </si>
  <si>
    <t>发布工程</t>
  </si>
  <si>
    <t>无MySQL8洁净验证和冻结闸门</t>
  </si>
  <si>
    <t>新增MySQL8 compose、验证脚本、发布清单与就绪检查</t>
  </si>
  <si>
    <t>可复核部署、依赖和冻结状态</t>
  </si>
  <si>
    <t>docker-compose.mysql8.yml；verify_mysql8_environment.py</t>
  </si>
  <si>
    <t>当前Docker引擎不可用</t>
  </si>
  <si>
    <t>DDL 2026-09-07 前必须关闭的修改与证据</t>
  </si>
  <si>
    <t>优先级</t>
  </si>
  <si>
    <t>待修改/待补证据</t>
  </si>
  <si>
    <t>具体动作</t>
  </si>
  <si>
    <t>验收标准</t>
  </si>
  <si>
    <t>责任部门</t>
  </si>
  <si>
    <t>输入依赖</t>
  </si>
  <si>
    <t>交付物</t>
  </si>
  <si>
    <t>DDL</t>
  </si>
  <si>
    <t>P0</t>
  </si>
  <si>
    <t>Spark Pro真实调用</t>
  </si>
  <si>
    <t>旋转泄露凭证；本机注入新APIPassword；执行100条并保存脱敏日志</t>
  </si>
  <si>
    <t>成功/解析/引用约束统计完整，模型与请求ID可追溯</t>
  </si>
  <si>
    <t>技术部</t>
  </si>
  <si>
    <t>企业/指导老师提供额度</t>
  </si>
  <si>
    <t>iflytek-990-live-final.json</t>
  </si>
  <si>
    <t>ASR+情感TTS+数字人</t>
  </si>
  <si>
    <t>取得ASR、情感TTS、数字人权限；跑30轮并记录首Token/P50/P95</t>
  </si>
  <si>
    <t>ASR识别、情感TTS、唇音同步可演示；P95≤1.5s或给出差距说明</t>
  </si>
  <si>
    <t>技术部/产品部</t>
  </si>
  <si>
    <t>讯飞接口权限、测试设备</t>
  </si>
  <si>
    <t>iflytek-990-voice-final.json；录屏</t>
  </si>
  <si>
    <t>锁定课程与教师；脱敏participant_id；采集前测/干预/后测≥100人次</t>
  </si>
  <si>
    <t>配对规则、退出/缺失处理、效果对比和教师证明齐全</t>
  </si>
  <si>
    <t>运营部/财务部</t>
  </si>
  <si>
    <t>学校授权、课程排期</t>
  </si>
  <si>
    <t>iflytek-990-experiment-final.json；教师证明</t>
  </si>
  <si>
    <t>MySQL8洁净环境</t>
  </si>
  <si>
    <t>修复Docker Desktop；启动compose；迁移、种子、登录、资源与反馈闭环</t>
  </si>
  <si>
    <t>verify_mysql8_environment.py通过且报告mysql8=true</t>
  </si>
  <si>
    <t>Docker引擎可用</t>
  </si>
  <si>
    <t>mysql-clean-environment.json</t>
  </si>
  <si>
    <t>P1</t>
  </si>
  <si>
    <t>教师工单前端闭环</t>
  </si>
  <si>
    <t>完成指派→处理中→复核→关闭；录制教师浏览器验收</t>
  </si>
  <si>
    <t>工单状态与风险原因、干预完成率可追溯</t>
  </si>
  <si>
    <t>产品部/技术部</t>
  </si>
  <si>
    <t>教师验收账号</t>
  </si>
  <si>
    <t>teacher-dashboard-acceptance.mp4</t>
  </si>
  <si>
    <t>真实输出幻觉率</t>
  </si>
  <si>
    <t>构建100条统一事实集；对真实Spark输出做RAG/图谱引用核验</t>
  </si>
  <si>
    <t>幻觉率≤5%，报告保留失败样例和修正策略</t>
  </si>
  <si>
    <t>Spark真实调用报告</t>
  </si>
  <si>
    <t>iflytek-990-hallucination-final.json</t>
  </si>
  <si>
    <t>正式路演MP4</t>
  </si>
  <si>
    <t>按脚本录制7分钟；去除浏览器个人信息弹窗；三轮彩排</t>
  </si>
  <si>
    <t>文件名/时长/分辨率符合提交要求，演示链路可复现</t>
  </si>
  <si>
    <t>运营部/产品部</t>
  </si>
  <si>
    <t>稳定部署、教师验收</t>
  </si>
  <si>
    <t>PLEX-A3-demo.mp4</t>
  </si>
  <si>
    <t>冻结发布包</t>
  </si>
  <si>
    <t>完成上述证据后重新生成manifest，清理临时文件并打包</t>
  </si>
  <si>
    <t>submission_ready=true；工作树干净；SHA一致</t>
  </si>
  <si>
    <t>领导层/技术部</t>
  </si>
  <si>
    <t>全部P0/P1证据</t>
  </si>
  <si>
    <t>最终提交ZIP+SHA256</t>
  </si>
  <si>
    <t>未开始</t>
  </si>
  <si>
    <t>按部门拆解：每个部门在9月7日前要交付什么</t>
  </si>
  <si>
    <t>部门</t>
  </si>
  <si>
    <t>核心职责</t>
  </si>
  <si>
    <t>本周具体任务</t>
  </si>
  <si>
    <t>必须交付</t>
  </si>
  <si>
    <t>量化验收</t>
  </si>
  <si>
    <t>协作对象</t>
  </si>
  <si>
    <t>负责人建议</t>
  </si>
  <si>
    <t>技术部（邬）</t>
  </si>
  <si>
    <t>系统、接口、数据、安全与发布</t>
  </si>
  <si>
    <t>修复Docker并完成MySQL8；旋转并注入讯飞凭证；跑Spark/ASR/TTS/数字人；补教师工单前端；执行全量测试与冻结</t>
  </si>
  <si>
    <t>5类真实报告、洁净环境报告、最终发布包</t>
  </si>
  <si>
    <t>Spark 100条；语音30轮；MySQL8通过；P95≤1.5s（或差距说明）</t>
  </si>
  <si>
    <t>产品部/运营部/领导层</t>
  </si>
  <si>
    <t>后端负责人+部署负责人</t>
  </si>
  <si>
    <t>财务部（王，我发你所有发票和价目）</t>
  </si>
  <si>
    <t>预算、采购、合规与投入产出</t>
  </si>
  <si>
    <t>确认讯飞额度/服务采购；记录API、设备、录制与实验成本；核对发票和授权；形成单项目成本表</t>
  </si>
  <si>
    <t>预算执行表、采购/授权凭证、ROI摘要</t>
  </si>
  <si>
    <t>费用有合同/发票；每项外部服务有用途与有效期</t>
  </si>
  <si>
    <t>技术部/运营部</t>
  </si>
  <si>
    <t>财务接口人</t>
  </si>
  <si>
    <t>运营部（邬和高去和钱说明）</t>
  </si>
  <si>
    <t>学校、教师、学生与实验组织</t>
  </si>
  <si>
    <t>锁定真实课程和教师；安排≥100人次；发放知情说明；组织前后测、满意度和教师证明；统筹录屏彩排</t>
  </si>
  <si>
    <t>脱敏实验CSV、教师证明、签到/排期、MP4</t>
  </si>
  <si>
    <t>participant_count≥100；前后测可配对；录屏无个人隐私</t>
  </si>
  <si>
    <t>产品部/技术部/领导层</t>
  </si>
  <si>
    <t>实验运营负责人</t>
  </si>
  <si>
    <t>产品部（最后考虑，先不管）</t>
  </si>
  <si>
    <t>命题对齐、体验、验收与材料</t>
  </si>
  <si>
    <t>把指标转成验收脚本；验收画像/路径/复习/工单；维护事实核验集；编排7分钟故事线和PPT/MP4</t>
  </si>
  <si>
    <t>验收清单、事实集、最终PPT/脚本/MP4</t>
  </si>
  <si>
    <t>8项核心指标逐项有证据；演示不超过7分钟</t>
  </si>
  <si>
    <t>产品经理+答辩主讲</t>
  </si>
  <si>
    <t>领导层（邬）</t>
  </si>
  <si>
    <t>资源协调、风险决策与最终签字</t>
  </si>
  <si>
    <t>确认命题口径和学校合作；协调讯飞企业联系人；审批预算；每48小时检查P0；在冻结前签署证据真实性声明</t>
  </si>
  <si>
    <t>资源确认单、风险决策记录、最终签字版材料</t>
  </si>
  <si>
    <t>P0按期关闭；无未授权数据/密钥；提交包可追溯</t>
  </si>
  <si>
    <t>全体部门</t>
  </si>
  <si>
    <t>项目负责人/指导老师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</si>
</sst>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b/>
      <sz val="10"/>
      <color rgb="FFFFFFFF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176" fontId="1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  <pageSetUpPr fitToPage="1"/>
  </sheetPr>
  <dimension ref="A1:F19"/>
  <sheetViews>
    <sheetView showGridLines="0" tabSelected="1" workbookViewId="0">
      <pane ySplit="2" topLeftCell="A11" activePane="bottomLeft" state="frozen"/>
      <selection/>
      <selection pane="bottomLeft" activeCell="C26" sqref="C26"/>
    </sheetView>
  </sheetViews>
  <sheetFormatPr defaultColWidth="9" defaultRowHeight="14" outlineLevelCol="5"/>
  <cols>
    <col min="1" max="2" width="24" customWidth="1"/>
    <col min="3" max="3" width="26" customWidth="1"/>
    <col min="4" max="4" width="22" customWidth="1"/>
    <col min="5" max="5" width="48" customWidth="1"/>
    <col min="6" max="6" width="18" customWidth="1"/>
  </cols>
  <sheetData>
    <row r="1" ht="28" customHeight="1" spans="1:6">
      <c r="A1" s="1" t="s">
        <v>0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ht="42" customHeight="1" spans="1:6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ht="42" customHeight="1" spans="1:6">
      <c r="A4" s="2" t="s">
        <v>7</v>
      </c>
      <c r="B4" s="2" t="s">
        <v>8</v>
      </c>
      <c r="C4" s="6">
        <v>46263</v>
      </c>
      <c r="D4" s="6">
        <v>46272</v>
      </c>
      <c r="E4" s="6">
        <v>46296</v>
      </c>
      <c r="F4" s="2" t="s">
        <v>9</v>
      </c>
    </row>
    <row r="5" ht="42" customHeight="1" spans="1:6">
      <c r="A5" s="7"/>
      <c r="B5" s="7"/>
      <c r="C5" s="7"/>
      <c r="D5" s="7"/>
      <c r="E5" s="7"/>
      <c r="F5" s="7"/>
    </row>
    <row r="6" ht="42" customHeight="1" spans="1:6">
      <c r="A6" s="2" t="s">
        <v>10</v>
      </c>
      <c r="B6" s="8" t="s">
        <v>11</v>
      </c>
      <c r="C6" s="2" t="s">
        <v>12</v>
      </c>
      <c r="D6" s="2" t="s">
        <v>13</v>
      </c>
      <c r="E6" s="2" t="s">
        <v>14</v>
      </c>
      <c r="F6" s="2" t="s">
        <v>15</v>
      </c>
    </row>
    <row r="7" ht="42" customHeight="1" spans="1:6">
      <c r="A7" s="2" t="s">
        <v>16</v>
      </c>
      <c r="B7" s="8">
        <v>8</v>
      </c>
      <c r="C7" s="2">
        <v>8</v>
      </c>
      <c r="D7" s="2" t="s">
        <v>17</v>
      </c>
      <c r="E7" s="2" t="s">
        <v>18</v>
      </c>
      <c r="F7" s="2" t="s">
        <v>19</v>
      </c>
    </row>
    <row r="8" ht="42" customHeight="1" spans="1:6">
      <c r="A8" s="9" t="s">
        <v>20</v>
      </c>
      <c r="B8" s="8">
        <v>26</v>
      </c>
      <c r="C8" s="2">
        <v>100</v>
      </c>
      <c r="D8" s="2" t="s">
        <v>21</v>
      </c>
      <c r="E8" s="2" t="s">
        <v>22</v>
      </c>
      <c r="F8" s="2" t="s">
        <v>19</v>
      </c>
    </row>
    <row r="9" ht="42" customHeight="1" spans="1:6">
      <c r="A9" s="2" t="s">
        <v>23</v>
      </c>
      <c r="B9" s="8">
        <v>35</v>
      </c>
      <c r="C9" s="2">
        <v>256</v>
      </c>
      <c r="D9" s="2" t="s">
        <v>24</v>
      </c>
      <c r="E9" s="2" t="s">
        <v>25</v>
      </c>
      <c r="F9" s="2" t="s">
        <v>19</v>
      </c>
    </row>
    <row r="10" ht="42" customHeight="1" spans="1:6">
      <c r="A10" s="2" t="s">
        <v>26</v>
      </c>
      <c r="B10" s="8" t="s">
        <v>27</v>
      </c>
      <c r="C10" s="2" t="s">
        <v>27</v>
      </c>
      <c r="D10" s="2" t="s">
        <v>28</v>
      </c>
      <c r="E10" s="2" t="s">
        <v>29</v>
      </c>
      <c r="F10" s="2" t="s">
        <v>19</v>
      </c>
    </row>
    <row r="11" ht="42" customHeight="1" spans="1:6">
      <c r="A11" s="2" t="s">
        <v>30</v>
      </c>
      <c r="B11" s="8">
        <v>6</v>
      </c>
      <c r="C11" s="2">
        <v>6</v>
      </c>
      <c r="D11" s="2" t="s">
        <v>31</v>
      </c>
      <c r="E11" s="2" t="s">
        <v>32</v>
      </c>
      <c r="F11" s="2" t="s">
        <v>19</v>
      </c>
    </row>
    <row r="12" ht="42" customHeight="1" spans="1:6">
      <c r="A12" s="2" t="s">
        <v>33</v>
      </c>
      <c r="B12" s="8" t="s">
        <v>34</v>
      </c>
      <c r="C12" s="2" t="s">
        <v>35</v>
      </c>
      <c r="D12" s="2" t="s">
        <v>36</v>
      </c>
      <c r="E12" s="2" t="s">
        <v>37</v>
      </c>
      <c r="F12" s="2" t="s">
        <v>19</v>
      </c>
    </row>
    <row r="13" ht="42" customHeight="1" spans="1:6">
      <c r="A13" s="2" t="s">
        <v>38</v>
      </c>
      <c r="B13" s="8" t="s">
        <v>39</v>
      </c>
      <c r="C13" s="2" t="s">
        <v>40</v>
      </c>
      <c r="D13" s="10" t="s">
        <v>41</v>
      </c>
      <c r="E13" s="2" t="s">
        <v>42</v>
      </c>
      <c r="F13" s="2" t="s">
        <v>43</v>
      </c>
    </row>
    <row r="14" ht="42" customHeight="1" spans="1:6">
      <c r="A14" s="2" t="s">
        <v>44</v>
      </c>
      <c r="B14" s="8" t="s">
        <v>45</v>
      </c>
      <c r="C14" s="2" t="s">
        <v>46</v>
      </c>
      <c r="D14" s="10" t="s">
        <v>47</v>
      </c>
      <c r="E14" s="2" t="s">
        <v>48</v>
      </c>
      <c r="F14" s="2" t="s">
        <v>43</v>
      </c>
    </row>
    <row r="15" ht="42" customHeight="1" spans="1:6">
      <c r="A15" s="2" t="s">
        <v>49</v>
      </c>
      <c r="B15" s="8" t="s">
        <v>50</v>
      </c>
      <c r="C15" s="2" t="s">
        <v>51</v>
      </c>
      <c r="D15" s="10" t="s">
        <v>52</v>
      </c>
      <c r="E15" s="2" t="s">
        <v>53</v>
      </c>
      <c r="F15" s="2" t="s">
        <v>43</v>
      </c>
    </row>
    <row r="16" ht="42" customHeight="1" spans="1:6">
      <c r="A16" s="2" t="s">
        <v>54</v>
      </c>
      <c r="B16" s="8" t="s">
        <v>55</v>
      </c>
      <c r="C16" s="2" t="s">
        <v>56</v>
      </c>
      <c r="D16" s="10" t="s">
        <v>57</v>
      </c>
      <c r="E16" s="2" t="s">
        <v>58</v>
      </c>
      <c r="F16" s="2" t="s">
        <v>43</v>
      </c>
    </row>
    <row r="17" ht="42" customHeight="1" spans="1:6">
      <c r="A17" s="2" t="s">
        <v>59</v>
      </c>
      <c r="B17" s="2" t="s">
        <v>60</v>
      </c>
      <c r="C17" s="2" t="s">
        <v>61</v>
      </c>
      <c r="D17" s="5" t="s">
        <v>62</v>
      </c>
      <c r="E17" s="2" t="s">
        <v>63</v>
      </c>
      <c r="F17" s="2" t="s">
        <v>64</v>
      </c>
    </row>
    <row r="18" ht="42" customHeight="1" spans="1:6">
      <c r="A18" s="2"/>
      <c r="B18" s="2"/>
      <c r="C18" s="2"/>
      <c r="D18" s="2"/>
      <c r="E18" s="2"/>
      <c r="F18" s="2"/>
    </row>
    <row r="19" ht="42" customHeight="1" spans="1:6">
      <c r="A19" s="2" t="s">
        <v>65</v>
      </c>
      <c r="B19" s="2" t="s">
        <v>66</v>
      </c>
      <c r="C19" s="2"/>
      <c r="D19" s="2"/>
      <c r="E19" s="2"/>
      <c r="F19" s="2"/>
    </row>
  </sheetData>
  <mergeCells count="2">
    <mergeCell ref="A1:F1"/>
    <mergeCell ref="B19:F19"/>
  </mergeCells>
  <conditionalFormatting sqref="F6:F16">
    <cfRule type="cellIs" dxfId="0" priority="1" operator="equal">
      <formula>"已验证"</formula>
    </cfRule>
    <cfRule type="cellIs" dxfId="1" priority="2" operator="equal">
      <formula>"进行中"</formula>
    </cfRule>
    <cfRule type="cellIs" dxfId="2" priority="3" operator="equal">
      <formula>"待外部证据"</formula>
    </cfRule>
    <cfRule type="cellIs" dxfId="3" priority="4" operator="equal">
      <formula>"未开始"</formula>
    </cfRule>
  </conditionalFormatting>
  <pageMargins left="0.75" right="0.75" top="1" bottom="1" header="0.5" footer="0.5"/>
  <pageSetup paperSize="1" fitToHeight="0" orientation="portrait"/>
  <headerFooter>
    <oddFooter>&amp;CPLEX｜内部项目管理资料｜请勿写入真实密钥或学生身份信息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  <pageSetUpPr fitToPage="1"/>
  </sheetPr>
  <dimension ref="A1:G10"/>
  <sheetViews>
    <sheetView showGridLines="0" topLeftCell="B1" workbookViewId="0">
      <pane ySplit="2" topLeftCell="A3" activePane="bottomLeft" state="frozen"/>
      <selection/>
      <selection pane="bottomLeft" activeCell="D7" sqref="D7"/>
    </sheetView>
  </sheetViews>
  <sheetFormatPr defaultColWidth="9" defaultRowHeight="14" outlineLevelCol="6"/>
  <cols>
    <col min="1" max="1" width="16" customWidth="1"/>
    <col min="2" max="2" width="28" customWidth="1"/>
    <col min="3" max="3" width="46" customWidth="1"/>
    <col min="4" max="4" width="38" customWidth="1"/>
    <col min="5" max="5" width="46" customWidth="1"/>
    <col min="6" max="6" width="18" customWidth="1"/>
    <col min="7" max="7" width="30" customWidth="1"/>
  </cols>
  <sheetData>
    <row r="1" ht="28" customHeight="1" spans="1:7">
      <c r="A1" s="1" t="s">
        <v>67</v>
      </c>
      <c r="B1" s="2"/>
      <c r="C1" s="2"/>
      <c r="D1" s="2"/>
      <c r="E1" s="2"/>
      <c r="F1" s="2"/>
      <c r="G1" s="2"/>
    </row>
    <row r="2" ht="30" customHeight="1" spans="1:7">
      <c r="A2" s="3" t="s">
        <v>68</v>
      </c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 t="s">
        <v>74</v>
      </c>
    </row>
    <row r="3" ht="42" customHeight="1" spans="1:7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19</v>
      </c>
      <c r="G3" s="5" t="s">
        <v>80</v>
      </c>
    </row>
    <row r="4" ht="42" customHeight="1" spans="1:7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19</v>
      </c>
      <c r="G4" s="5" t="s">
        <v>86</v>
      </c>
    </row>
    <row r="5" ht="42" customHeight="1" spans="1:7">
      <c r="A5" s="2" t="s">
        <v>87</v>
      </c>
      <c r="B5" s="2" t="s">
        <v>88</v>
      </c>
      <c r="C5" s="2" t="s">
        <v>89</v>
      </c>
      <c r="D5" s="2" t="s">
        <v>90</v>
      </c>
      <c r="E5" s="2" t="s">
        <v>91</v>
      </c>
      <c r="F5" s="2" t="s">
        <v>19</v>
      </c>
      <c r="G5" s="5" t="s">
        <v>92</v>
      </c>
    </row>
    <row r="6" ht="42" customHeight="1" spans="1:7">
      <c r="A6" s="2" t="s">
        <v>93</v>
      </c>
      <c r="B6" s="2" t="s">
        <v>94</v>
      </c>
      <c r="C6" s="2" t="s">
        <v>95</v>
      </c>
      <c r="D6" s="2" t="s">
        <v>96</v>
      </c>
      <c r="E6" s="2" t="s">
        <v>97</v>
      </c>
      <c r="F6" s="2" t="s">
        <v>19</v>
      </c>
      <c r="G6" s="5" t="s">
        <v>98</v>
      </c>
    </row>
    <row r="7" ht="42" customHeight="1" spans="1:7">
      <c r="A7" s="2" t="s">
        <v>99</v>
      </c>
      <c r="B7" s="2" t="s">
        <v>100</v>
      </c>
      <c r="C7" s="2" t="s">
        <v>101</v>
      </c>
      <c r="D7" s="2" t="s">
        <v>102</v>
      </c>
      <c r="E7" s="2" t="s">
        <v>103</v>
      </c>
      <c r="F7" s="2" t="s">
        <v>19</v>
      </c>
      <c r="G7" s="5" t="s">
        <v>104</v>
      </c>
    </row>
    <row r="8" ht="42" customHeight="1" spans="1:7">
      <c r="A8" s="2" t="s">
        <v>105</v>
      </c>
      <c r="B8" s="2" t="s">
        <v>106</v>
      </c>
      <c r="C8" s="2" t="s">
        <v>107</v>
      </c>
      <c r="D8" s="2" t="s">
        <v>108</v>
      </c>
      <c r="E8" s="2" t="s">
        <v>109</v>
      </c>
      <c r="F8" s="2" t="s">
        <v>64</v>
      </c>
      <c r="G8" s="5" t="s">
        <v>110</v>
      </c>
    </row>
    <row r="9" ht="42" customHeight="1" spans="1:7">
      <c r="A9" s="2" t="s">
        <v>111</v>
      </c>
      <c r="B9" s="2" t="s">
        <v>112</v>
      </c>
      <c r="C9" s="2" t="s">
        <v>113</v>
      </c>
      <c r="D9" s="2" t="s">
        <v>114</v>
      </c>
      <c r="E9" s="2" t="s">
        <v>115</v>
      </c>
      <c r="F9" s="2" t="s">
        <v>43</v>
      </c>
      <c r="G9" s="5" t="s">
        <v>116</v>
      </c>
    </row>
    <row r="10" ht="42" customHeight="1" spans="1:7">
      <c r="A10" s="2" t="s">
        <v>117</v>
      </c>
      <c r="B10" s="2" t="s">
        <v>118</v>
      </c>
      <c r="C10" s="2" t="s">
        <v>119</v>
      </c>
      <c r="D10" s="2" t="s">
        <v>120</v>
      </c>
      <c r="E10" s="2" t="s">
        <v>121</v>
      </c>
      <c r="F10" s="2" t="s">
        <v>43</v>
      </c>
      <c r="G10" s="5" t="s">
        <v>122</v>
      </c>
    </row>
  </sheetData>
  <mergeCells count="1">
    <mergeCell ref="A1:G1"/>
  </mergeCells>
  <conditionalFormatting sqref="F3:F10">
    <cfRule type="cellIs" dxfId="0" priority="1" operator="equal">
      <formula>"已验证"</formula>
    </cfRule>
    <cfRule type="cellIs" dxfId="1" priority="2" operator="equal">
      <formula>"进行中"</formula>
    </cfRule>
    <cfRule type="cellIs" dxfId="2" priority="3" operator="equal">
      <formula>"待外部证据"</formula>
    </cfRule>
    <cfRule type="cellIs" dxfId="3" priority="4" operator="equal">
      <formula>"未开始"</formula>
    </cfRule>
  </conditionalFormatting>
  <pageMargins left="0.75" right="0.75" top="1" bottom="1" header="0.5" footer="0.5"/>
  <pageSetup paperSize="1" fitToHeight="0" orientation="portrait"/>
  <headerFooter>
    <oddFooter>&amp;CPLEX｜内部项目管理资料｜请勿写入真实密钥或学生身份信息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  <pageSetUpPr fitToPage="1"/>
  </sheetPr>
  <dimension ref="A1:I10"/>
  <sheetViews>
    <sheetView showGridLines="0" workbookViewId="0">
      <pane ySplit="2" topLeftCell="A3" activePane="bottomLeft" state="frozen"/>
      <selection/>
      <selection pane="bottomLeft" activeCell="D6" sqref="D6"/>
    </sheetView>
  </sheetViews>
  <sheetFormatPr defaultColWidth="9" defaultRowHeight="14"/>
  <cols>
    <col min="1" max="1" width="10" customWidth="1"/>
    <col min="2" max="2" width="24" customWidth="1"/>
    <col min="3" max="3" width="46" customWidth="1"/>
    <col min="4" max="4" width="42" customWidth="1"/>
    <col min="5" max="5" width="18" customWidth="1"/>
    <col min="6" max="6" width="30" customWidth="1"/>
    <col min="7" max="7" width="38" customWidth="1"/>
    <col min="8" max="8" width="14" customWidth="1"/>
    <col min="9" max="9" width="18" customWidth="1"/>
  </cols>
  <sheetData>
    <row r="1" ht="28" customHeight="1" spans="1:9">
      <c r="A1" s="1" t="s">
        <v>123</v>
      </c>
      <c r="B1" s="2"/>
      <c r="C1" s="2"/>
      <c r="D1" s="2"/>
      <c r="E1" s="2"/>
      <c r="F1" s="2"/>
      <c r="G1" s="2"/>
      <c r="H1" s="2"/>
      <c r="I1" s="2"/>
    </row>
    <row r="2" ht="30" customHeight="1" spans="1:9">
      <c r="A2" s="3" t="s">
        <v>124</v>
      </c>
      <c r="B2" s="3" t="s">
        <v>125</v>
      </c>
      <c r="C2" s="3" t="s">
        <v>126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  <c r="I2" s="3" t="s">
        <v>15</v>
      </c>
    </row>
    <row r="3" ht="42" customHeight="1" spans="1:9">
      <c r="A3" s="2" t="s">
        <v>132</v>
      </c>
      <c r="B3" s="2" t="s">
        <v>133</v>
      </c>
      <c r="C3" s="5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6">
        <v>46268</v>
      </c>
      <c r="I3" s="2" t="s">
        <v>43</v>
      </c>
    </row>
    <row r="4" ht="42" customHeight="1" spans="1:9">
      <c r="A4" s="2" t="s">
        <v>132</v>
      </c>
      <c r="B4" s="2" t="s">
        <v>139</v>
      </c>
      <c r="C4" s="5" t="s">
        <v>140</v>
      </c>
      <c r="D4" s="2" t="s">
        <v>141</v>
      </c>
      <c r="E4" s="2" t="s">
        <v>142</v>
      </c>
      <c r="F4" s="2" t="s">
        <v>143</v>
      </c>
      <c r="G4" s="2" t="s">
        <v>144</v>
      </c>
      <c r="H4" s="6">
        <v>46269</v>
      </c>
      <c r="I4" s="2" t="s">
        <v>43</v>
      </c>
    </row>
    <row r="5" ht="42" customHeight="1" spans="1:9">
      <c r="A5" s="2" t="s">
        <v>132</v>
      </c>
      <c r="B5" s="2" t="s">
        <v>49</v>
      </c>
      <c r="C5" s="5" t="s">
        <v>145</v>
      </c>
      <c r="D5" s="2" t="s">
        <v>146</v>
      </c>
      <c r="E5" s="2" t="s">
        <v>147</v>
      </c>
      <c r="F5" s="2" t="s">
        <v>148</v>
      </c>
      <c r="G5" s="2" t="s">
        <v>149</v>
      </c>
      <c r="H5" s="6">
        <v>46270</v>
      </c>
      <c r="I5" s="2" t="s">
        <v>43</v>
      </c>
    </row>
    <row r="6" ht="42" customHeight="1" spans="1:9">
      <c r="A6" s="2" t="s">
        <v>132</v>
      </c>
      <c r="B6" s="2" t="s">
        <v>150</v>
      </c>
      <c r="C6" s="5" t="s">
        <v>151</v>
      </c>
      <c r="D6" s="2" t="s">
        <v>152</v>
      </c>
      <c r="E6" s="2" t="s">
        <v>136</v>
      </c>
      <c r="F6" s="2" t="s">
        <v>153</v>
      </c>
      <c r="G6" s="2" t="s">
        <v>154</v>
      </c>
      <c r="H6" s="6">
        <v>46267</v>
      </c>
      <c r="I6" s="2" t="s">
        <v>43</v>
      </c>
    </row>
    <row r="7" ht="42" customHeight="1" spans="1:9">
      <c r="A7" s="2" t="s">
        <v>155</v>
      </c>
      <c r="B7" s="2" t="s">
        <v>156</v>
      </c>
      <c r="C7" s="5" t="s">
        <v>157</v>
      </c>
      <c r="D7" s="2" t="s">
        <v>158</v>
      </c>
      <c r="E7" s="2" t="s">
        <v>159</v>
      </c>
      <c r="F7" s="2" t="s">
        <v>160</v>
      </c>
      <c r="G7" s="2" t="s">
        <v>161</v>
      </c>
      <c r="H7" s="6">
        <v>46270</v>
      </c>
      <c r="I7" s="2" t="s">
        <v>64</v>
      </c>
    </row>
    <row r="8" ht="42" customHeight="1" spans="1:9">
      <c r="A8" s="2" t="s">
        <v>155</v>
      </c>
      <c r="B8" s="2" t="s">
        <v>162</v>
      </c>
      <c r="C8" s="5" t="s">
        <v>163</v>
      </c>
      <c r="D8" s="2" t="s">
        <v>164</v>
      </c>
      <c r="E8" s="2" t="s">
        <v>142</v>
      </c>
      <c r="F8" s="2" t="s">
        <v>165</v>
      </c>
      <c r="G8" s="2" t="s">
        <v>166</v>
      </c>
      <c r="H8" s="6">
        <v>46270</v>
      </c>
      <c r="I8" s="2" t="s">
        <v>43</v>
      </c>
    </row>
    <row r="9" ht="42" customHeight="1" spans="1:9">
      <c r="A9" s="2" t="s">
        <v>155</v>
      </c>
      <c r="B9" s="2" t="s">
        <v>167</v>
      </c>
      <c r="C9" s="2" t="s">
        <v>168</v>
      </c>
      <c r="D9" s="2" t="s">
        <v>169</v>
      </c>
      <c r="E9" s="2" t="s">
        <v>170</v>
      </c>
      <c r="F9" s="2" t="s">
        <v>171</v>
      </c>
      <c r="G9" s="2" t="s">
        <v>172</v>
      </c>
      <c r="H9" s="6">
        <v>46271</v>
      </c>
      <c r="I9" s="2" t="s">
        <v>64</v>
      </c>
    </row>
    <row r="10" ht="42" customHeight="1" spans="1:9">
      <c r="A10" s="2" t="s">
        <v>155</v>
      </c>
      <c r="B10" s="2" t="s">
        <v>173</v>
      </c>
      <c r="C10" s="2" t="s">
        <v>174</v>
      </c>
      <c r="D10" s="2" t="s">
        <v>175</v>
      </c>
      <c r="E10" s="2" t="s">
        <v>176</v>
      </c>
      <c r="F10" s="2" t="s">
        <v>177</v>
      </c>
      <c r="G10" s="2" t="s">
        <v>178</v>
      </c>
      <c r="H10" s="6">
        <v>46272</v>
      </c>
      <c r="I10" s="2" t="s">
        <v>179</v>
      </c>
    </row>
  </sheetData>
  <mergeCells count="1">
    <mergeCell ref="A1:I1"/>
  </mergeCells>
  <conditionalFormatting sqref="I3:I10">
    <cfRule type="cellIs" dxfId="0" priority="1" operator="equal">
      <formula>"已验证"</formula>
    </cfRule>
    <cfRule type="cellIs" dxfId="1" priority="2" operator="equal">
      <formula>"进行中"</formula>
    </cfRule>
    <cfRule type="cellIs" dxfId="2" priority="3" operator="equal">
      <formula>"待外部证据"</formula>
    </cfRule>
    <cfRule type="cellIs" dxfId="3" priority="4" operator="equal">
      <formula>"未开始"</formula>
    </cfRule>
  </conditionalFormatting>
  <pageMargins left="0.75" right="0.75" top="1" bottom="1" header="0.5" footer="0.5"/>
  <pageSetup paperSize="1" fitToHeight="0" orientation="portrait"/>
  <headerFooter>
    <oddFooter>&amp;CPLEX｜内部项目管理资料｜请勿写入真实密钥或学生身份信息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G7"/>
  <sheetViews>
    <sheetView showGridLines="0" zoomScale="114" zoomScaleNormal="114" workbookViewId="0">
      <pane ySplit="2" topLeftCell="A3" activePane="bottomLeft" state="frozen"/>
      <selection/>
      <selection pane="bottomLeft" activeCell="B12" sqref="B12"/>
    </sheetView>
  </sheetViews>
  <sheetFormatPr defaultColWidth="9" defaultRowHeight="14" outlineLevelRow="6" outlineLevelCol="6"/>
  <cols>
    <col min="1" max="1" width="14" customWidth="1"/>
    <col min="2" max="2" width="28" customWidth="1"/>
    <col min="3" max="3" width="54" customWidth="1"/>
    <col min="4" max="4" width="38" customWidth="1"/>
    <col min="5" max="5" width="36" customWidth="1"/>
    <col min="6" max="6" width="24" customWidth="1"/>
    <col min="7" max="7" width="22" customWidth="1"/>
  </cols>
  <sheetData>
    <row r="1" ht="28" customHeight="1" spans="1:7">
      <c r="A1" s="1" t="s">
        <v>180</v>
      </c>
      <c r="B1" s="2"/>
      <c r="C1" s="2"/>
      <c r="D1" s="2"/>
      <c r="E1" s="2"/>
      <c r="F1" s="2"/>
      <c r="G1" s="2"/>
    </row>
    <row r="2" ht="30" customHeight="1" spans="1:7">
      <c r="A2" s="3" t="s">
        <v>181</v>
      </c>
      <c r="B2" s="3" t="s">
        <v>182</v>
      </c>
      <c r="C2" s="3" t="s">
        <v>183</v>
      </c>
      <c r="D2" s="3" t="s">
        <v>184</v>
      </c>
      <c r="E2" s="3" t="s">
        <v>185</v>
      </c>
      <c r="F2" s="3" t="s">
        <v>186</v>
      </c>
      <c r="G2" s="3" t="s">
        <v>187</v>
      </c>
    </row>
    <row r="3" ht="42" customHeight="1" spans="1:7">
      <c r="A3" s="4" t="s">
        <v>188</v>
      </c>
      <c r="B3" s="2" t="s">
        <v>189</v>
      </c>
      <c r="C3" s="2" t="s">
        <v>190</v>
      </c>
      <c r="D3" s="2" t="s">
        <v>191</v>
      </c>
      <c r="E3" s="2" t="s">
        <v>192</v>
      </c>
      <c r="F3" s="2" t="s">
        <v>193</v>
      </c>
      <c r="G3" s="2" t="s">
        <v>194</v>
      </c>
    </row>
    <row r="4" ht="42" customHeight="1" spans="1:7">
      <c r="A4" s="4" t="s">
        <v>195</v>
      </c>
      <c r="B4" s="2" t="s">
        <v>196</v>
      </c>
      <c r="C4" s="2" t="s">
        <v>197</v>
      </c>
      <c r="D4" s="2" t="s">
        <v>198</v>
      </c>
      <c r="E4" s="2" t="s">
        <v>199</v>
      </c>
      <c r="F4" s="2" t="s">
        <v>200</v>
      </c>
      <c r="G4" s="2" t="s">
        <v>201</v>
      </c>
    </row>
    <row r="5" ht="42" customHeight="1" spans="1:7">
      <c r="A5" s="4" t="s">
        <v>202</v>
      </c>
      <c r="B5" s="2" t="s">
        <v>203</v>
      </c>
      <c r="C5" s="2" t="s">
        <v>204</v>
      </c>
      <c r="D5" s="2" t="s">
        <v>205</v>
      </c>
      <c r="E5" s="2" t="s">
        <v>206</v>
      </c>
      <c r="F5" s="2" t="s">
        <v>207</v>
      </c>
      <c r="G5" s="2" t="s">
        <v>208</v>
      </c>
    </row>
    <row r="6" ht="42" customHeight="1" spans="1:7">
      <c r="A6" s="4" t="s">
        <v>209</v>
      </c>
      <c r="B6" s="2" t="s">
        <v>210</v>
      </c>
      <c r="C6" s="2" t="s">
        <v>211</v>
      </c>
      <c r="D6" s="2" t="s">
        <v>212</v>
      </c>
      <c r="E6" s="2" t="s">
        <v>213</v>
      </c>
      <c r="F6" s="2" t="s">
        <v>200</v>
      </c>
      <c r="G6" s="2" t="s">
        <v>214</v>
      </c>
    </row>
    <row r="7" ht="42" customHeight="1" spans="1:7">
      <c r="A7" s="4" t="s">
        <v>215</v>
      </c>
      <c r="B7" s="2" t="s">
        <v>216</v>
      </c>
      <c r="C7" s="2" t="s">
        <v>217</v>
      </c>
      <c r="D7" s="2" t="s">
        <v>218</v>
      </c>
      <c r="E7" s="2" t="s">
        <v>219</v>
      </c>
      <c r="F7" s="2" t="s">
        <v>220</v>
      </c>
      <c r="G7" s="2" t="s">
        <v>221</v>
      </c>
    </row>
  </sheetData>
  <mergeCells count="1">
    <mergeCell ref="A1:G1"/>
  </mergeCells>
  <pageMargins left="0.75" right="0.75" top="1" bottom="1" header="0.5" footer="0.5"/>
  <pageSetup paperSize="1" fitToHeight="0" orientation="portrait"/>
  <headerFooter>
    <oddFooter>&amp;CPLEX｜内部项目管理资料｜请勿写入真实密钥或学生身份信息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原版-当前版改动</vt:lpstr>
      <vt:lpstr>待修改清单</vt:lpstr>
      <vt:lpstr>部门分工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路径积分</cp:lastModifiedBy>
  <dcterms:created xsi:type="dcterms:W3CDTF">2026-08-29T05:24:00Z</dcterms:created>
  <dcterms:modified xsi:type="dcterms:W3CDTF">2026-08-29T05:29:07Z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9AD033FE36E4476C9F0501746E2602F6_12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